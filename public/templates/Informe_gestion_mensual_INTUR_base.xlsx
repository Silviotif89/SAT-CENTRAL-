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5 8th Gen\Desktop\INTUR CAPA\informe de gestion\"/>
    </mc:Choice>
  </mc:AlternateContent>
  <xr:revisionPtr revIDLastSave="0" documentId="8_{89C88492-E8A9-4530-BC5A-78A013705A8A}" xr6:coauthVersionLast="47" xr6:coauthVersionMax="47" xr10:uidLastSave="{00000000-0000-0000-0000-000000000000}"/>
  <bookViews>
    <workbookView xWindow="-98" yWindow="-98" windowWidth="14595" windowHeight="8296" activeTab="1" xr2:uid="{00000000-000D-0000-FFFF-FFFF00000000}"/>
  </bookViews>
  <sheets>
    <sheet name="Informe Gestión Mensual" sheetId="9" r:id="rId1"/>
    <sheet name="TERRITORIALIZACIÓN" sheetId="8" r:id="rId2"/>
    <sheet name="Anexo- Intercambios &amp; Ruedas" sheetId="10" r:id="rId3"/>
    <sheet name="ANEXO-ESNNA" sheetId="11" r:id="rId4"/>
  </sheets>
  <definedNames>
    <definedName name="_Hlk230767011" localSheetId="2">'Anexo- Intercambios &amp; Ruedas'!$B$24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9" l="1"/>
  <c r="J21" i="8"/>
  <c r="H21" i="8"/>
  <c r="G16" i="9" l="1"/>
  <c r="E16" i="9"/>
  <c r="G15" i="9"/>
  <c r="E15" i="9"/>
  <c r="E14" i="9"/>
  <c r="G14" i="9" s="1"/>
  <c r="E12" i="9"/>
  <c r="G12" i="9" s="1"/>
  <c r="E11" i="9"/>
  <c r="G11" i="9" s="1"/>
  <c r="E10" i="9"/>
  <c r="G10" i="9" s="1"/>
  <c r="E9" i="9"/>
  <c r="G9" i="9" s="1"/>
  <c r="F21" i="10" l="1"/>
  <c r="F14" i="11"/>
  <c r="F42" i="10"/>
  <c r="F41" i="10"/>
  <c r="F13" i="11"/>
  <c r="F12" i="11"/>
  <c r="F39" i="10"/>
  <c r="E44" i="10"/>
  <c r="D44" i="10"/>
  <c r="F40" i="10"/>
  <c r="F11" i="11"/>
  <c r="F10" i="11"/>
  <c r="F9" i="11"/>
  <c r="F23" i="10"/>
  <c r="I21" i="8"/>
  <c r="E7" i="9" s="1"/>
  <c r="F8" i="11"/>
  <c r="F7" i="11"/>
  <c r="F6" i="11" l="1"/>
  <c r="E13" i="9"/>
  <c r="F5" i="11" l="1"/>
  <c r="F4" i="11" l="1"/>
  <c r="E19" i="9"/>
  <c r="G19" i="9" s="1"/>
  <c r="F43" i="10" l="1"/>
  <c r="F38" i="10" l="1"/>
  <c r="F37" i="10"/>
  <c r="D9" i="10"/>
  <c r="E9" i="10"/>
  <c r="F8" i="10"/>
  <c r="F7" i="10" l="1"/>
  <c r="E18" i="9" l="1"/>
  <c r="E8" i="9"/>
  <c r="F43" i="8" l="1"/>
  <c r="E15" i="11" l="1"/>
  <c r="D15" i="11"/>
  <c r="B15" i="11"/>
  <c r="F15" i="11" l="1"/>
  <c r="G8" i="9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2" i="10"/>
  <c r="F20" i="10"/>
  <c r="F19" i="10"/>
  <c r="F18" i="10"/>
  <c r="F6" i="10"/>
  <c r="F5" i="10"/>
  <c r="F4" i="10"/>
  <c r="F3" i="10"/>
  <c r="F44" i="10" l="1"/>
  <c r="F9" i="10"/>
  <c r="B197" i="8"/>
  <c r="B175" i="8"/>
  <c r="B153" i="8"/>
  <c r="B131" i="8"/>
  <c r="B109" i="8"/>
  <c r="B87" i="8"/>
  <c r="B65" i="8"/>
  <c r="B177" i="8"/>
  <c r="B155" i="8"/>
  <c r="B133" i="8"/>
  <c r="B111" i="8"/>
  <c r="B89" i="8"/>
  <c r="B67" i="8"/>
  <c r="B45" i="8"/>
  <c r="B1" i="8"/>
  <c r="L220" i="8"/>
  <c r="D17" i="9" s="1"/>
  <c r="E17" i="9" s="1"/>
  <c r="G17" i="9" s="1"/>
  <c r="M220" i="8"/>
  <c r="K220" i="8"/>
  <c r="J220" i="8"/>
  <c r="I220" i="8"/>
  <c r="H220" i="8"/>
  <c r="G220" i="8"/>
  <c r="F220" i="8"/>
  <c r="E220" i="8"/>
  <c r="D220" i="8"/>
  <c r="C220" i="8"/>
  <c r="B220" i="8"/>
  <c r="N219" i="8"/>
  <c r="N218" i="8"/>
  <c r="N217" i="8"/>
  <c r="N216" i="8"/>
  <c r="N215" i="8"/>
  <c r="N214" i="8"/>
  <c r="N213" i="8"/>
  <c r="N212" i="8"/>
  <c r="N211" i="8"/>
  <c r="N210" i="8"/>
  <c r="N209" i="8"/>
  <c r="N208" i="8"/>
  <c r="N207" i="8"/>
  <c r="N206" i="8"/>
  <c r="N205" i="8"/>
  <c r="N204" i="8"/>
  <c r="N203" i="8"/>
  <c r="M197" i="8"/>
  <c r="L197" i="8"/>
  <c r="K197" i="8"/>
  <c r="J197" i="8"/>
  <c r="I197" i="8"/>
  <c r="H197" i="8"/>
  <c r="G197" i="8"/>
  <c r="F197" i="8"/>
  <c r="E197" i="8"/>
  <c r="D197" i="8"/>
  <c r="C197" i="8"/>
  <c r="N196" i="8"/>
  <c r="N195" i="8"/>
  <c r="N194" i="8"/>
  <c r="N193" i="8"/>
  <c r="N192" i="8"/>
  <c r="N191" i="8"/>
  <c r="N190" i="8"/>
  <c r="N189" i="8"/>
  <c r="N188" i="8"/>
  <c r="N187" i="8"/>
  <c r="N186" i="8"/>
  <c r="N185" i="8"/>
  <c r="N184" i="8"/>
  <c r="N183" i="8"/>
  <c r="N182" i="8"/>
  <c r="N181" i="8"/>
  <c r="N180" i="8"/>
  <c r="M175" i="8"/>
  <c r="L175" i="8"/>
  <c r="K175" i="8"/>
  <c r="J175" i="8"/>
  <c r="I175" i="8"/>
  <c r="H175" i="8"/>
  <c r="G175" i="8"/>
  <c r="F175" i="8"/>
  <c r="E175" i="8"/>
  <c r="D175" i="8"/>
  <c r="C175" i="8"/>
  <c r="N174" i="8"/>
  <c r="N173" i="8"/>
  <c r="N172" i="8"/>
  <c r="N171" i="8"/>
  <c r="N170" i="8"/>
  <c r="N169" i="8"/>
  <c r="N168" i="8"/>
  <c r="N167" i="8"/>
  <c r="N166" i="8"/>
  <c r="N165" i="8"/>
  <c r="N164" i="8"/>
  <c r="N163" i="8"/>
  <c r="N162" i="8"/>
  <c r="N161" i="8"/>
  <c r="N160" i="8"/>
  <c r="N159" i="8"/>
  <c r="N158" i="8"/>
  <c r="M153" i="8"/>
  <c r="L153" i="8"/>
  <c r="K153" i="8"/>
  <c r="J153" i="8"/>
  <c r="I153" i="8"/>
  <c r="H153" i="8"/>
  <c r="G153" i="8"/>
  <c r="F153" i="8"/>
  <c r="E153" i="8"/>
  <c r="D153" i="8"/>
  <c r="C153" i="8"/>
  <c r="N152" i="8"/>
  <c r="N151" i="8"/>
  <c r="N150" i="8"/>
  <c r="N149" i="8"/>
  <c r="N148" i="8"/>
  <c r="N147" i="8"/>
  <c r="N146" i="8"/>
  <c r="N145" i="8"/>
  <c r="N144" i="8"/>
  <c r="N143" i="8"/>
  <c r="N142" i="8"/>
  <c r="N141" i="8"/>
  <c r="N140" i="8"/>
  <c r="N139" i="8"/>
  <c r="N138" i="8"/>
  <c r="N137" i="8"/>
  <c r="N136" i="8"/>
  <c r="M131" i="8"/>
  <c r="L131" i="8"/>
  <c r="K131" i="8"/>
  <c r="J131" i="8"/>
  <c r="I131" i="8"/>
  <c r="H131" i="8"/>
  <c r="G131" i="8"/>
  <c r="F131" i="8"/>
  <c r="E131" i="8"/>
  <c r="D131" i="8"/>
  <c r="C131" i="8"/>
  <c r="N130" i="8"/>
  <c r="N129" i="8"/>
  <c r="N128" i="8"/>
  <c r="N127" i="8"/>
  <c r="N126" i="8"/>
  <c r="N125" i="8"/>
  <c r="N124" i="8"/>
  <c r="N123" i="8"/>
  <c r="N122" i="8"/>
  <c r="N121" i="8"/>
  <c r="N120" i="8"/>
  <c r="N119" i="8"/>
  <c r="N118" i="8"/>
  <c r="N117" i="8"/>
  <c r="N116" i="8"/>
  <c r="N115" i="8"/>
  <c r="N114" i="8"/>
  <c r="M109" i="8"/>
  <c r="L109" i="8"/>
  <c r="K109" i="8"/>
  <c r="J109" i="8"/>
  <c r="I109" i="8"/>
  <c r="H109" i="8"/>
  <c r="G109" i="8"/>
  <c r="F109" i="8"/>
  <c r="E109" i="8"/>
  <c r="D109" i="8"/>
  <c r="C109" i="8"/>
  <c r="N108" i="8"/>
  <c r="N107" i="8"/>
  <c r="N106" i="8"/>
  <c r="N105" i="8"/>
  <c r="N104" i="8"/>
  <c r="N103" i="8"/>
  <c r="N102" i="8"/>
  <c r="N101" i="8"/>
  <c r="N100" i="8"/>
  <c r="N99" i="8"/>
  <c r="N98" i="8"/>
  <c r="N97" i="8"/>
  <c r="N96" i="8"/>
  <c r="N95" i="8"/>
  <c r="N94" i="8"/>
  <c r="N93" i="8"/>
  <c r="N92" i="8"/>
  <c r="M87" i="8"/>
  <c r="L87" i="8"/>
  <c r="K87" i="8"/>
  <c r="J87" i="8"/>
  <c r="I87" i="8"/>
  <c r="H87" i="8"/>
  <c r="G87" i="8"/>
  <c r="F87" i="8"/>
  <c r="E87" i="8"/>
  <c r="D87" i="8"/>
  <c r="C87" i="8"/>
  <c r="N86" i="8"/>
  <c r="N85" i="8"/>
  <c r="N84" i="8"/>
  <c r="N83" i="8"/>
  <c r="N82" i="8"/>
  <c r="N81" i="8"/>
  <c r="N80" i="8"/>
  <c r="N79" i="8"/>
  <c r="N78" i="8"/>
  <c r="N77" i="8"/>
  <c r="N76" i="8"/>
  <c r="N75" i="8"/>
  <c r="N74" i="8"/>
  <c r="N73" i="8"/>
  <c r="N72" i="8"/>
  <c r="N71" i="8"/>
  <c r="N70" i="8"/>
  <c r="M65" i="8"/>
  <c r="L65" i="8"/>
  <c r="K65" i="8"/>
  <c r="J65" i="8"/>
  <c r="I65" i="8"/>
  <c r="H65" i="8"/>
  <c r="G65" i="8"/>
  <c r="F65" i="8"/>
  <c r="E65" i="8"/>
  <c r="D65" i="8"/>
  <c r="C65" i="8"/>
  <c r="N64" i="8"/>
  <c r="N63" i="8"/>
  <c r="N62" i="8"/>
  <c r="N61" i="8"/>
  <c r="N60" i="8"/>
  <c r="N59" i="8"/>
  <c r="N58" i="8"/>
  <c r="N57" i="8"/>
  <c r="N56" i="8"/>
  <c r="N55" i="8"/>
  <c r="N54" i="8"/>
  <c r="N53" i="8"/>
  <c r="N52" i="8"/>
  <c r="N51" i="8"/>
  <c r="N50" i="8"/>
  <c r="N49" i="8"/>
  <c r="N48" i="8"/>
  <c r="M43" i="8"/>
  <c r="L43" i="8"/>
  <c r="K43" i="8"/>
  <c r="J43" i="8"/>
  <c r="I43" i="8"/>
  <c r="H43" i="8"/>
  <c r="G43" i="8"/>
  <c r="E43" i="8"/>
  <c r="D43" i="8"/>
  <c r="C43" i="8"/>
  <c r="B43" i="8"/>
  <c r="N42" i="8"/>
  <c r="N41" i="8"/>
  <c r="N40" i="8"/>
  <c r="N39" i="8"/>
  <c r="N38" i="8"/>
  <c r="N37" i="8"/>
  <c r="N36" i="8"/>
  <c r="N35" i="8"/>
  <c r="N34" i="8"/>
  <c r="N33" i="8"/>
  <c r="N32" i="8"/>
  <c r="N31" i="8"/>
  <c r="N30" i="8"/>
  <c r="N29" i="8"/>
  <c r="N28" i="8"/>
  <c r="N27" i="8"/>
  <c r="N26" i="8"/>
  <c r="C21" i="8"/>
  <c r="B21" i="8"/>
  <c r="L21" i="8"/>
  <c r="N16" i="8"/>
  <c r="N8" i="8"/>
  <c r="N5" i="8"/>
  <c r="N6" i="8"/>
  <c r="N7" i="8"/>
  <c r="N9" i="8"/>
  <c r="N10" i="8"/>
  <c r="N11" i="8"/>
  <c r="N12" i="8"/>
  <c r="N13" i="8"/>
  <c r="N14" i="8"/>
  <c r="N15" i="8"/>
  <c r="N17" i="8"/>
  <c r="N18" i="8"/>
  <c r="N19" i="8"/>
  <c r="N20" i="8"/>
  <c r="N4" i="8"/>
  <c r="M21" i="8"/>
  <c r="K21" i="8"/>
  <c r="G21" i="8"/>
  <c r="F21" i="8"/>
  <c r="E21" i="8"/>
  <c r="D21" i="8"/>
  <c r="G13" i="9" l="1"/>
  <c r="G7" i="9"/>
  <c r="N43" i="8"/>
  <c r="N109" i="8"/>
  <c r="N220" i="8"/>
  <c r="N197" i="8"/>
  <c r="N21" i="8"/>
  <c r="N175" i="8"/>
  <c r="N131" i="8"/>
  <c r="N87" i="8"/>
  <c r="N65" i="8"/>
  <c r="G18" i="9"/>
  <c r="N153" i="8"/>
</calcChain>
</file>

<file path=xl/sharedStrings.xml><?xml version="1.0" encoding="utf-8"?>
<sst xmlns="http://schemas.openxmlformats.org/spreadsheetml/2006/main" count="429" uniqueCount="123">
  <si>
    <t>No.</t>
  </si>
  <si>
    <t>Principales causas</t>
  </si>
  <si>
    <t xml:space="preserve">Plan de Medidas </t>
  </si>
  <si>
    <t>AVANCE CUANTITATIVO</t>
  </si>
  <si>
    <t>METAS ATRASADAS</t>
  </si>
  <si>
    <t>Ejecución 
del Mes</t>
  </si>
  <si>
    <t>IMPACTO ESPERADO</t>
  </si>
  <si>
    <t>AVANCE CUALITATIVO</t>
  </si>
  <si>
    <t>Porcentaje de
Cumplimiento</t>
  </si>
  <si>
    <t xml:space="preserve">PLAN MENSUAL DE TRABAJO </t>
  </si>
  <si>
    <t>INDICADOR META POA</t>
  </si>
  <si>
    <t>META ANUAL:</t>
  </si>
  <si>
    <t>DEPARTAMENTO / 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</si>
  <si>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</si>
  <si>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</si>
  <si>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</si>
  <si>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</si>
  <si>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</si>
  <si>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</si>
  <si>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</si>
  <si>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</si>
  <si>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</si>
  <si>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</si>
  <si>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</si>
  <si>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</si>
  <si>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</si>
  <si>
    <t>BOACO</t>
  </si>
  <si>
    <t>CARAZO</t>
  </si>
  <si>
    <t>CHONTALES</t>
  </si>
  <si>
    <t>MATAGALPA</t>
  </si>
  <si>
    <t>ESTELÍ</t>
  </si>
  <si>
    <t>LEÓN</t>
  </si>
  <si>
    <t>CHINANDEGA</t>
  </si>
  <si>
    <t>GRANADA</t>
  </si>
  <si>
    <t>JINOTEGA</t>
  </si>
  <si>
    <t>MADRIZ</t>
  </si>
  <si>
    <t>MASAYA</t>
  </si>
  <si>
    <t>NUEVA SEGOVIA</t>
  </si>
  <si>
    <t>RIVAS</t>
  </si>
  <si>
    <t>MANAGUA</t>
  </si>
  <si>
    <t>DIRECCIÓN DE DESARROLLO TURÍSTICO</t>
  </si>
  <si>
    <t>Ejecución Mes Anterior</t>
  </si>
  <si>
    <t>RÍO SAN JUAN</t>
  </si>
  <si>
    <t>RACS</t>
  </si>
  <si>
    <t>RACN</t>
  </si>
  <si>
    <t xml:space="preserve">400 de protagonistas de pequeños y medianos negocios turísticos sensibilizados en ESNNA  </t>
  </si>
  <si>
    <t>Promover el enlazamiento y mejorar la asociatividad entre el sector turístico y el productivo.</t>
  </si>
  <si>
    <t xml:space="preserve">202 Empresas turisticas asistidas para obtener distintivo de calidad </t>
  </si>
  <si>
    <t>290 Empresas Turísticas que obtienen el Distintivo de Calidad.</t>
  </si>
  <si>
    <t>Técnicas de las 5´s : 1</t>
  </si>
  <si>
    <t>Intercambios de experiencias realizados</t>
  </si>
  <si>
    <t>Fecha</t>
  </si>
  <si>
    <t>Protagonistas</t>
  </si>
  <si>
    <t>Mujeres</t>
  </si>
  <si>
    <t>Hombres</t>
  </si>
  <si>
    <t>Total</t>
  </si>
  <si>
    <t>Ruedas de Negocios</t>
  </si>
  <si>
    <t>Mes</t>
  </si>
  <si>
    <t>Talleres</t>
  </si>
  <si>
    <t>Departamento</t>
  </si>
  <si>
    <t xml:space="preserve">Empresas turísticas con distintivo de calidad, con procesos internos claros, organizados y que ofertan servicio con calidad.  </t>
  </si>
  <si>
    <t>RACCS</t>
  </si>
  <si>
    <t>RACCN</t>
  </si>
  <si>
    <t>}</t>
  </si>
  <si>
    <t>Fortalecer las capacidades técnicas de colaboradores, guías turísticos y empresarios turísticos del sector, para la mejora de la calidad del servicio de cara a temporadas altas.</t>
  </si>
  <si>
    <t>ESNNA</t>
  </si>
  <si>
    <t xml:space="preserve">Empresas turísticas con distintivo de calidad, con procesos internos claros que ofertan servicio con calidad.  </t>
  </si>
  <si>
    <t>Fortalecer las capacidades de los prestadores de servicios turísticos, en temas de prevención de ESNNA.</t>
  </si>
  <si>
    <t>13,550 protagonistas de pequeños y medianos negocios turísticos capacitados.</t>
  </si>
  <si>
    <t xml:space="preserve">835 Protagonistas de pequeños y medianos negocios turísticos sensibilizados en ESNNA  </t>
  </si>
  <si>
    <t xml:space="preserve"> 7,152 Empresas Turísticas Autorizadas por INTUR.</t>
  </si>
  <si>
    <t>325 Empresas Turísticas que suben de categoría.</t>
  </si>
  <si>
    <t xml:space="preserve">7,152 Códigos de Conducta suscritos entre empresas turísticas autorizadas e INTUR. </t>
  </si>
  <si>
    <t>4,027 Empleos generados por las nuevas empresas turísticas que abren por primera vez.</t>
  </si>
  <si>
    <t xml:space="preserve">729 Nuevas habitaciones habilitadas por las empresas turísticas. </t>
  </si>
  <si>
    <t>7 Intercambios de Experiencias realizados</t>
  </si>
  <si>
    <t xml:space="preserve">8,297 Empresas Turísticas asistidas en elaboración de Planes de Mejora.                </t>
  </si>
  <si>
    <t>835 Empresas Turísticas abren negocio por primera vez</t>
  </si>
  <si>
    <t>23 Ruedas de Negocios realizadas</t>
  </si>
  <si>
    <t>207 Empresas Turísticas asistidas para obtener distintivo de calidad</t>
  </si>
  <si>
    <t>Enero</t>
  </si>
  <si>
    <t>Boaco y Granada</t>
  </si>
  <si>
    <t>Realizamos Intercambio de Experiencias y Presentación de Casos Exitosos con protagonistas de Managua, Carazo, Granada y Masaya visitan Chontales.</t>
  </si>
  <si>
    <t>Realizamos Rueda de Negocios Regional con protagonistas de Managua, Carazo, Granada, Masaya y Chontales.</t>
  </si>
  <si>
    <t xml:space="preserve">Realizamos Rueda de Negocios con protagonistas de tour operadoras de Carazo, Granada, Managua y Masaya visitan León. </t>
  </si>
  <si>
    <t>Febrero</t>
  </si>
  <si>
    <t>Managua (2), Río San Juan, Estelí, Jinotega, Masaya y Madriz</t>
  </si>
  <si>
    <t xml:space="preserve">Realizamos Rueda de Negocios con protagonistas de tour operadoras de Granada, Managua y Masaya visitan Carazo. </t>
  </si>
  <si>
    <t>Marzo</t>
  </si>
  <si>
    <t>León, Masaya (2), Jinotega (2) y Madriz</t>
  </si>
  <si>
    <t>Realizamos Intercambio de Experiencias y Presentación de Casos Exitosos con protagonistas de Managua, Nueva Segovia, Madriz, Estelí, Matagalpa y Jinotega visitan Río San Juan.</t>
  </si>
  <si>
    <t>Realizamos Rueda de Negocios Regional con protagonistas de Managua, Nueva Segovia, Madriz, Estelí, Matagalpa, Jinotega y Río San Juan.</t>
  </si>
  <si>
    <t>Abril</t>
  </si>
  <si>
    <t>RACCN (2), Rivas, Matagalpa y Managua (2)</t>
  </si>
  <si>
    <t>Mes: MAYO-2026</t>
  </si>
  <si>
    <t>En el mes de mayo no se realizó Intercambio de Experiencias.</t>
  </si>
  <si>
    <t xml:space="preserve">En el mes de mayo se realizaron 8 talleres de prevención de ESNNA: 1 en Estelí, 1 en Jinotega, 2 en Managua, 1 en Nueva Segovia, 1 en Madriz, 1 en Rivas y 1 en Granada. </t>
  </si>
  <si>
    <t xml:space="preserve">Realizamos Rueda de Negocios con protagonistas de Empresas en Gestión de Desarrollo Digital de Managua y Chinandega. </t>
  </si>
  <si>
    <t>Realizamos Rueda de Negocios con protagonistas de Empresas en Gestión de Desarrollo Digital de Managua.</t>
  </si>
  <si>
    <t xml:space="preserve">Realizamos Rueda de Negocios con tour operadoras de Masaya, Carazo, Granada y León visitan Managua (Expo Pyme). </t>
  </si>
  <si>
    <t xml:space="preserve">Realizamos Rueda de Negocios con tour operadoras de Managua, Masaya, Carazo y Granada visitan Madriz. </t>
  </si>
  <si>
    <t>En el mes de mayo se realizaron 3 Rueda de Negocios: 1 con empresas en Gestión de Desarrollo Digital en Managua, 2 con tour operadoras en Managua y  Madriz.</t>
  </si>
  <si>
    <t>Mayo</t>
  </si>
  <si>
    <t>Estelí, Jinotega, Managua (2), Nueva Segovia, Madriz, Rivas y Granada</t>
  </si>
  <si>
    <r>
      <t xml:space="preserve">Para el mes de mayo se autorizaron </t>
    </r>
    <r>
      <rPr>
        <sz val="11"/>
        <rFont val="Calibri"/>
        <family val="2"/>
        <scheme val="minor"/>
      </rPr>
      <t>420</t>
    </r>
    <r>
      <rPr>
        <sz val="11"/>
        <color theme="1"/>
        <rFont val="Calibri"/>
        <family val="2"/>
        <scheme val="minor"/>
      </rPr>
      <t xml:space="preserve"> empresas turísticas a nivel nacional.</t>
    </r>
  </si>
  <si>
    <t>Mayor número de Empresas turísticas formalizadas en el periodo que corresponde de según la ley 1210.</t>
  </si>
  <si>
    <t>Las empresas están en el proceso de tramite para obtener los requisitos ante otras instituciones para lograr presentar sus requisitos ante INTUR .</t>
  </si>
  <si>
    <r>
      <t xml:space="preserve">Para el mes de </t>
    </r>
    <r>
      <rPr>
        <sz val="11"/>
        <rFont val="Calibri"/>
        <family val="2"/>
        <scheme val="minor"/>
      </rPr>
      <t>mayo</t>
    </r>
    <r>
      <rPr>
        <sz val="11"/>
        <color theme="1"/>
        <rFont val="Calibri"/>
        <family val="2"/>
        <scheme val="minor"/>
      </rPr>
      <t xml:space="preserve"> 1</t>
    </r>
    <r>
      <rPr>
        <sz val="11"/>
        <rFont val="Calibri"/>
        <family val="2"/>
        <scheme val="minor"/>
      </rPr>
      <t>80</t>
    </r>
    <r>
      <rPr>
        <sz val="11"/>
        <color theme="1"/>
        <rFont val="Calibri"/>
        <family val="2"/>
        <scheme val="minor"/>
      </rPr>
      <t xml:space="preserve"> empresas turísticas fueron asistidas en la elaboración de planes de mejoras a nivel nacional, como resultado de las inconformidades identificas durante la aplicación de las herramientas de clasificación y categorización, los planes de mejora son la guía que facilita el INTUR para que las empresas logren aumentar de categoría y ser parte de la oferta turistica nacional. </t>
    </r>
  </si>
  <si>
    <t>Empresas turistícas mantienen su categorias y en otros casos aumento de categoría, para formar parte de la oferta turistica del país.</t>
  </si>
  <si>
    <r>
      <t xml:space="preserve">Para el mes de </t>
    </r>
    <r>
      <rPr>
        <sz val="11"/>
        <rFont val="Calibri"/>
        <family val="2"/>
        <scheme val="minor"/>
      </rPr>
      <t>mayo</t>
    </r>
    <r>
      <rPr>
        <sz val="11"/>
        <color theme="1"/>
        <rFont val="Calibri"/>
        <family val="2"/>
        <scheme val="minor"/>
      </rPr>
      <t xml:space="preserve"> 1 empresa turística aumento de categoría, como resultado del asesoramiento de los inspectores turisticos a nivel nacional, lo que permitió que las empresas cumplieran con los planes de mejoras elaborados en el año </t>
    </r>
    <r>
      <rPr>
        <sz val="11"/>
        <rFont val="Calibri"/>
        <family val="2"/>
        <scheme val="minor"/>
      </rPr>
      <t>2025</t>
    </r>
    <r>
      <rPr>
        <sz val="11"/>
        <color theme="1"/>
        <rFont val="Calibri"/>
        <family val="2"/>
        <scheme val="minor"/>
      </rPr>
      <t xml:space="preserve">, para lograr obtener el aumento de categiría en el presente año. </t>
    </r>
  </si>
  <si>
    <t xml:space="preserve">Aumento de empresas con categoría en la oferta tursitica nacional.  </t>
  </si>
  <si>
    <r>
      <t xml:space="preserve">para el mes de </t>
    </r>
    <r>
      <rPr>
        <sz val="11"/>
        <rFont val="Calibri"/>
        <family val="2"/>
        <scheme val="minor"/>
      </rPr>
      <t>mayo</t>
    </r>
    <r>
      <rPr>
        <sz val="11"/>
        <color theme="1"/>
        <rFont val="Calibri"/>
        <family val="2"/>
        <scheme val="minor"/>
      </rPr>
      <t xml:space="preserve"> 420 empresas turísticas suscribieron la firma de códigos de conducta, como compromiso del sector turistico encontra de la explotación sexual de nuestros niños, niñas y adolescente  en viajes y turismo.  </t>
    </r>
  </si>
  <si>
    <t xml:space="preserve">Sector turistico comprometido con el cuido y protección de los niños, niñas y adolentes para que no sean victimas de la explotación sexual. </t>
  </si>
  <si>
    <t xml:space="preserve">Este indicador depende de empresas autorizadas, al estar en proceso de tramitologia por parte de las empresas ha ocasionado el retraso en el cumplimiento de este indicador. </t>
  </si>
  <si>
    <r>
      <t xml:space="preserve">para el mes de </t>
    </r>
    <r>
      <rPr>
        <sz val="11"/>
        <rFont val="Calibri"/>
        <family val="2"/>
        <scheme val="minor"/>
      </rPr>
      <t>mayo</t>
    </r>
    <r>
      <rPr>
        <sz val="11"/>
        <color theme="1"/>
        <rFont val="Calibri"/>
        <family val="2"/>
        <scheme val="minor"/>
      </rPr>
      <t xml:space="preserve"> 143 empresas turisticas abrieron por primera vez, lo que ocasiona aumento y diversificación del sector, como resultado de la inversion nacional. </t>
    </r>
  </si>
  <si>
    <t xml:space="preserve">Aumento de empresas turisticas y diversificación de oferta. </t>
  </si>
  <si>
    <r>
      <t xml:space="preserve">Para el mes de </t>
    </r>
    <r>
      <rPr>
        <sz val="11"/>
        <rFont val="Calibri"/>
        <family val="2"/>
        <scheme val="minor"/>
      </rPr>
      <t>mayo</t>
    </r>
    <r>
      <rPr>
        <sz val="11"/>
        <color theme="1"/>
        <rFont val="Calibri"/>
        <family val="2"/>
        <scheme val="minor"/>
      </rPr>
      <t xml:space="preserve"> se registraron 804 empleos nuevos generados por las empresas que abren por primera vez, haciendo notorio la reactivación del sector. </t>
    </r>
  </si>
  <si>
    <t>Actividad turistica como uno de los principales generadores de empleos</t>
  </si>
  <si>
    <r>
      <t xml:space="preserve">Para el mes de </t>
    </r>
    <r>
      <rPr>
        <sz val="11"/>
        <rFont val="Calibri"/>
        <family val="2"/>
        <scheme val="minor"/>
      </rPr>
      <t>mayo</t>
    </r>
    <r>
      <rPr>
        <sz val="11"/>
        <color theme="1"/>
        <rFont val="Calibri"/>
        <family val="2"/>
        <scheme val="minor"/>
      </rPr>
      <t xml:space="preserve"> se habilitaron  141 habitaciones, como resultado de empesas de las actividades de hospedería que aperturaron por primera vez, asi como tambien empresas de hospedería que aumentaron el número de habitaciones habilitadas.  </t>
    </r>
  </si>
  <si>
    <t xml:space="preserve">Aumento de habitaciones y camas al servicio, de cara al aumento de pernoctación de los turistas.  </t>
  </si>
  <si>
    <t>Programación Acumulada enero- 
DICIEMBRE</t>
  </si>
  <si>
    <t xml:space="preserve">Ejecución Acumulada enero-  septiembre </t>
  </si>
  <si>
    <t>Del mes de enero a septiembre se han realizado 529 talleres, capacitando a un total de 12,329 protagonistas, de los cuales 4,408 son hombres y 7,921 mujeres. Durante el mes de septiembre se capacitaron 1,188 protagonistas mediante la realización de 49 talleres, en los que se abordaron temas como: Elaboración de Batidos Naturales y Nutritivos, Conservación del Patrimonio Natural y Cultural, Elaboración de Cócteles y Aperitivos, Atención al Cliente, Pastelería Salada, Redes Sociales, Liderazgo y Emprendedurismo en el Turismo, Elaboración de Planes de Negocios, Técnicas de Servicio en Alimentos y Bebidas, Gestión Empresarial, Servicio de Habitaciones, Agenda Digital e Inteligencia Artificial, Gestión de Crisis en el Turismo, Técnicas de Recepción, Técnicas Culinarias para Eventos Navideños, Protagonismo de la Mujer en el Sector Turismo, Innovación y Emprendimiento Turístico, Manipulación Higiénica de Alimentos y Bebidas, Montaje y Protocolo de Eventos, Limpieza y Arreglo de Habitaciones, Cocina Nicaragüense y Elaboración de Cócteles Artesanales, entre otros.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</si>
</sst>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rgb="FF3333FF"/>
      <name val="Calibri"/>
      <family val="2"/>
      <scheme val="minor"/>
    </font>
    <font>
      <b/>
      <sz val="11"/>
      <name val="Arial Black"/>
      <family val="2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rial Black"/>
      <family val="2"/>
    </font>
    <font>
      <b/>
      <sz val="11"/>
      <color theme="1"/>
      <name val="Arial Black"/>
      <family val="2"/>
    </font>
    <font>
      <b/>
      <i/>
      <sz val="11"/>
      <color rgb="FFFF0000"/>
      <name val="Calibri"/>
      <family val="2"/>
      <scheme val="minor"/>
    </font>
    <font>
      <b/>
      <sz val="11"/>
      <color rgb="FFFF0000"/>
      <name val="Arial Black"/>
      <family val="2"/>
    </font>
    <font>
      <b/>
      <sz val="11"/>
      <name val="Calibri"/>
      <family val="2"/>
      <scheme val="minor"/>
    </font>
    <font>
      <sz val="11"/>
      <color theme="0"/>
      <name val="Arial Black"/>
      <family val="2"/>
    </font>
    <font>
      <sz val="12"/>
      <name val="Courier New"/>
      <family val="3"/>
    </font>
    <font>
      <sz val="11"/>
      <color theme="1"/>
      <name val="Arial"/>
      <family val="2"/>
    </font>
    <font>
      <sz val="11"/>
      <name val="Arial"/>
      <family val="2"/>
    </font>
    <font>
      <sz val="11"/>
      <name val="Arial Black"/>
      <family val="2"/>
    </font>
    <font>
      <sz val="12"/>
      <color theme="1"/>
      <name val="Bookman Old Style"/>
      <family val="1"/>
    </font>
    <font>
      <sz val="12"/>
      <color rgb="FF000000"/>
      <name val="Calibri"/>
      <family val="2"/>
    </font>
    <font>
      <sz val="12"/>
      <name val="Calibri"/>
      <family val="2"/>
    </font>
    <font>
      <sz val="10"/>
      <name val="Calibri"/>
      <family val="2"/>
      <scheme val="minor"/>
    </font>
    <font>
      <sz val="12"/>
      <color theme="1"/>
      <name val="Courier New"/>
      <family val="3"/>
    </font>
    <font>
      <sz val="11"/>
      <color rgb="FFFF0000"/>
      <name val="Arial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ourier New"/>
      <family val="3"/>
    </font>
    <font>
      <b/>
      <sz val="11"/>
      <color theme="1"/>
      <name val="Courier New"/>
      <family val="3"/>
    </font>
    <font>
      <b/>
      <sz val="12"/>
      <color theme="1"/>
      <name val="Courier New"/>
      <family val="3"/>
    </font>
    <font>
      <b/>
      <sz val="12"/>
      <color theme="0"/>
      <name val="Courier New"/>
      <family val="3"/>
    </font>
    <font>
      <b/>
      <sz val="14"/>
      <color theme="0"/>
      <name val="Courier New"/>
      <family val="3"/>
    </font>
    <font>
      <sz val="12"/>
      <color rgb="FF000000"/>
      <name val="Courier New"/>
      <family val="3"/>
    </font>
    <font>
      <sz val="14"/>
      <color rgb="FF000000"/>
      <name val="Courier New"/>
      <family val="3"/>
    </font>
    <font>
      <b/>
      <sz val="14"/>
      <name val="Courier New"/>
      <family val="3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0000"/>
      <name val="Arial"/>
      <family val="2"/>
    </font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38" fillId="0" borderId="0"/>
  </cellStyleXfs>
  <cellXfs count="124">
    <xf numFmtId="0" fontId="0" fillId="0" borderId="0" xfId="0"/>
    <xf numFmtId="0" fontId="0" fillId="0" borderId="0" xfId="0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3" borderId="0" xfId="0" applyFont="1" applyFill="1"/>
    <xf numFmtId="0" fontId="10" fillId="3" borderId="0" xfId="0" applyFont="1" applyFill="1"/>
    <xf numFmtId="0" fontId="11" fillId="0" borderId="0" xfId="0" applyFont="1"/>
    <xf numFmtId="0" fontId="2" fillId="0" borderId="0" xfId="0" applyFont="1"/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12" fillId="4" borderId="1" xfId="0" applyFont="1" applyFill="1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0" fontId="6" fillId="5" borderId="0" xfId="2" applyFill="1" applyAlignment="1">
      <alignment horizontal="left" wrapText="1" indent="2"/>
    </xf>
    <xf numFmtId="0" fontId="6" fillId="0" borderId="0" xfId="2" applyAlignment="1">
      <alignment horizontal="left" wrapText="1" indent="2"/>
    </xf>
    <xf numFmtId="10" fontId="2" fillId="0" borderId="1" xfId="1" applyNumberFormat="1" applyFont="1" applyFill="1" applyBorder="1" applyAlignment="1">
      <alignment horizontal="center" vertical="center"/>
    </xf>
    <xf numFmtId="0" fontId="14" fillId="3" borderId="0" xfId="0" applyFont="1" applyFill="1"/>
    <xf numFmtId="0" fontId="15" fillId="0" borderId="1" xfId="0" applyFont="1" applyBorder="1" applyAlignment="1">
      <alignment horizontal="center" vertical="top" wrapText="1"/>
    </xf>
    <xf numFmtId="0" fontId="15" fillId="0" borderId="1" xfId="0" applyFont="1" applyBorder="1" applyAlignment="1">
      <alignment horizontal="center" vertical="center" wrapText="1"/>
    </xf>
    <xf numFmtId="10" fontId="13" fillId="0" borderId="1" xfId="1" applyNumberFormat="1" applyFont="1" applyFill="1" applyBorder="1" applyAlignment="1">
      <alignment horizontal="center" vertical="center"/>
    </xf>
    <xf numFmtId="0" fontId="18" fillId="3" borderId="0" xfId="0" applyFont="1" applyFill="1"/>
    <xf numFmtId="0" fontId="9" fillId="3" borderId="0" xfId="0" applyFont="1" applyFill="1" applyAlignment="1">
      <alignment vertical="center"/>
    </xf>
    <xf numFmtId="0" fontId="13" fillId="0" borderId="1" xfId="0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13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49" fontId="17" fillId="0" borderId="1" xfId="0" applyNumberFormat="1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vertical="top" wrapText="1"/>
    </xf>
    <xf numFmtId="49" fontId="14" fillId="3" borderId="0" xfId="0" applyNumberFormat="1" applyFont="1" applyFill="1"/>
    <xf numFmtId="0" fontId="19" fillId="0" borderId="0" xfId="0" applyFont="1" applyAlignment="1">
      <alignment vertical="center"/>
    </xf>
    <xf numFmtId="0" fontId="16" fillId="0" borderId="1" xfId="0" applyFont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top" wrapText="1"/>
    </xf>
    <xf numFmtId="0" fontId="21" fillId="6" borderId="1" xfId="0" applyFont="1" applyFill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top" wrapText="1"/>
    </xf>
    <xf numFmtId="0" fontId="22" fillId="0" borderId="1" xfId="0" applyFont="1" applyBorder="1" applyAlignment="1">
      <alignment horizontal="center" vertical="center" wrapText="1"/>
    </xf>
    <xf numFmtId="0" fontId="23" fillId="0" borderId="0" xfId="0" applyFont="1" applyAlignment="1">
      <alignment vertical="center"/>
    </xf>
    <xf numFmtId="0" fontId="23" fillId="0" borderId="1" xfId="0" applyFont="1" applyBorder="1" applyAlignment="1">
      <alignment vertical="center" wrapText="1"/>
    </xf>
    <xf numFmtId="0" fontId="23" fillId="0" borderId="3" xfId="0" applyFont="1" applyBorder="1" applyAlignment="1">
      <alignment vertical="center" wrapText="1"/>
    </xf>
    <xf numFmtId="0" fontId="17" fillId="0" borderId="1" xfId="0" applyFont="1" applyBorder="1" applyAlignment="1">
      <alignment vertical="center" wrapText="1"/>
    </xf>
    <xf numFmtId="0" fontId="17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3" fillId="0" borderId="0" xfId="0" applyFont="1"/>
    <xf numFmtId="0" fontId="0" fillId="0" borderId="7" xfId="0" applyBorder="1" applyAlignment="1">
      <alignment horizontal="center"/>
    </xf>
    <xf numFmtId="0" fontId="0" fillId="0" borderId="1" xfId="0" applyBorder="1" applyAlignment="1">
      <alignment vertical="center" wrapText="1"/>
    </xf>
    <xf numFmtId="49" fontId="17" fillId="6" borderId="1" xfId="0" applyNumberFormat="1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center"/>
    </xf>
    <xf numFmtId="0" fontId="26" fillId="0" borderId="7" xfId="0" applyFont="1" applyBorder="1" applyAlignment="1">
      <alignment horizontal="center"/>
    </xf>
    <xf numFmtId="0" fontId="16" fillId="0" borderId="1" xfId="0" applyFont="1" applyBorder="1" applyAlignment="1">
      <alignment vertical="center" wrapText="1"/>
    </xf>
    <xf numFmtId="14" fontId="27" fillId="0" borderId="1" xfId="0" applyNumberFormat="1" applyFont="1" applyBorder="1" applyAlignment="1">
      <alignment horizontal="center"/>
    </xf>
    <xf numFmtId="0" fontId="27" fillId="0" borderId="1" xfId="0" applyFont="1" applyBorder="1" applyAlignment="1">
      <alignment horizontal="center"/>
    </xf>
    <xf numFmtId="14" fontId="27" fillId="0" borderId="1" xfId="0" applyNumberFormat="1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14" fontId="27" fillId="0" borderId="1" xfId="0" applyNumberFormat="1" applyFont="1" applyBorder="1" applyAlignment="1">
      <alignment horizontal="center" vertical="center" wrapText="1"/>
    </xf>
    <xf numFmtId="14" fontId="27" fillId="0" borderId="1" xfId="0" applyNumberFormat="1" applyFont="1" applyBorder="1" applyAlignment="1">
      <alignment horizontal="center" wrapText="1"/>
    </xf>
    <xf numFmtId="0" fontId="30" fillId="7" borderId="1" xfId="0" applyFont="1" applyFill="1" applyBorder="1" applyAlignment="1">
      <alignment horizontal="center"/>
    </xf>
    <xf numFmtId="0" fontId="27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/>
    </xf>
    <xf numFmtId="49" fontId="16" fillId="6" borderId="1" xfId="0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23" fillId="0" borderId="3" xfId="0" applyFont="1" applyBorder="1" applyAlignment="1">
      <alignment horizontal="left" vertical="center" wrapText="1"/>
    </xf>
    <xf numFmtId="0" fontId="27" fillId="0" borderId="9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8" fillId="0" borderId="11" xfId="0" applyFont="1" applyBorder="1" applyAlignment="1">
      <alignment horizontal="center"/>
    </xf>
    <xf numFmtId="0" fontId="29" fillId="0" borderId="11" xfId="0" applyFont="1" applyBorder="1" applyAlignment="1">
      <alignment horizontal="center"/>
    </xf>
    <xf numFmtId="0" fontId="29" fillId="0" borderId="12" xfId="0" applyFont="1" applyBorder="1" applyAlignment="1">
      <alignment horizontal="center"/>
    </xf>
    <xf numFmtId="0" fontId="27" fillId="0" borderId="13" xfId="0" applyFont="1" applyBorder="1" applyAlignment="1">
      <alignment horizontal="center"/>
    </xf>
    <xf numFmtId="0" fontId="29" fillId="0" borderId="13" xfId="0" applyFont="1" applyBorder="1" applyAlignment="1">
      <alignment horizontal="center"/>
    </xf>
    <xf numFmtId="0" fontId="17" fillId="0" borderId="1" xfId="0" applyFont="1" applyBorder="1" applyAlignment="1">
      <alignment horizontal="left" vertical="center" wrapText="1"/>
    </xf>
    <xf numFmtId="0" fontId="23" fillId="0" borderId="1" xfId="0" applyFont="1" applyBorder="1" applyAlignment="1">
      <alignment horizontal="left" vertical="center" wrapText="1"/>
    </xf>
    <xf numFmtId="0" fontId="27" fillId="0" borderId="2" xfId="0" applyFont="1" applyBorder="1" applyAlignment="1">
      <alignment horizontal="center" vertical="center"/>
    </xf>
    <xf numFmtId="14" fontId="27" fillId="0" borderId="2" xfId="0" applyNumberFormat="1" applyFont="1" applyBorder="1" applyAlignment="1">
      <alignment horizontal="center" vertical="center"/>
    </xf>
    <xf numFmtId="0" fontId="32" fillId="0" borderId="0" xfId="0" applyFont="1" applyAlignment="1">
      <alignment horizontal="justify" vertical="center"/>
    </xf>
    <xf numFmtId="0" fontId="32" fillId="0" borderId="1" xfId="0" applyFont="1" applyBorder="1" applyAlignment="1">
      <alignment horizontal="justify" vertical="center"/>
    </xf>
    <xf numFmtId="0" fontId="32" fillId="0" borderId="0" xfId="0" applyFont="1" applyAlignment="1">
      <alignment horizontal="left" vertical="center" wrapText="1"/>
    </xf>
    <xf numFmtId="0" fontId="27" fillId="0" borderId="7" xfId="0" applyFont="1" applyBorder="1" applyAlignment="1">
      <alignment horizontal="center" vertical="center"/>
    </xf>
    <xf numFmtId="0" fontId="32" fillId="0" borderId="1" xfId="0" applyFont="1" applyBorder="1" applyAlignment="1">
      <alignment horizontal="left" vertical="center" wrapText="1"/>
    </xf>
    <xf numFmtId="0" fontId="27" fillId="0" borderId="0" xfId="0" applyFont="1" applyAlignment="1">
      <alignment horizontal="center"/>
    </xf>
    <xf numFmtId="0" fontId="27" fillId="0" borderId="0" xfId="0" applyFont="1"/>
    <xf numFmtId="0" fontId="29" fillId="0" borderId="0" xfId="0" applyFont="1" applyAlignment="1">
      <alignment horizont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top" wrapText="1"/>
    </xf>
    <xf numFmtId="14" fontId="27" fillId="0" borderId="2" xfId="0" applyNumberFormat="1" applyFont="1" applyBorder="1" applyAlignment="1">
      <alignment horizontal="center" vertical="center" wrapText="1"/>
    </xf>
    <xf numFmtId="0" fontId="33" fillId="0" borderId="1" xfId="0" applyFont="1" applyBorder="1" applyAlignment="1">
      <alignment horizontal="justify" vertical="center"/>
    </xf>
    <xf numFmtId="0" fontId="27" fillId="0" borderId="1" xfId="0" applyFont="1" applyBorder="1" applyAlignment="1">
      <alignment vertical="center"/>
    </xf>
    <xf numFmtId="0" fontId="27" fillId="0" borderId="1" xfId="0" applyFont="1" applyBorder="1" applyAlignment="1">
      <alignment horizontal="justify" vertical="center"/>
    </xf>
    <xf numFmtId="0" fontId="32" fillId="0" borderId="2" xfId="0" applyFont="1" applyBorder="1" applyAlignment="1">
      <alignment horizontal="justify" vertical="center"/>
    </xf>
    <xf numFmtId="0" fontId="27" fillId="0" borderId="14" xfId="0" applyFont="1" applyBorder="1"/>
    <xf numFmtId="0" fontId="27" fillId="0" borderId="0" xfId="0" applyFont="1" applyAlignment="1">
      <alignment vertical="center" wrapText="1"/>
    </xf>
    <xf numFmtId="0" fontId="27" fillId="0" borderId="1" xfId="0" applyFont="1" applyBorder="1" applyAlignment="1">
      <alignment vertical="center" wrapText="1"/>
    </xf>
    <xf numFmtId="0" fontId="15" fillId="6" borderId="0" xfId="0" applyFont="1" applyFill="1" applyAlignment="1">
      <alignment horizontal="center" vertical="center" wrapText="1"/>
    </xf>
    <xf numFmtId="0" fontId="27" fillId="0" borderId="0" xfId="0" applyFont="1" applyAlignment="1">
      <alignment horizontal="justify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 vertical="top" wrapText="1"/>
    </xf>
    <xf numFmtId="0" fontId="13" fillId="0" borderId="1" xfId="0" applyFont="1" applyBorder="1" applyAlignment="1">
      <alignment horizontal="center"/>
    </xf>
    <xf numFmtId="0" fontId="36" fillId="0" borderId="1" xfId="0" applyFont="1" applyBorder="1" applyAlignment="1">
      <alignment horizontal="center" vertical="center"/>
    </xf>
    <xf numFmtId="3" fontId="35" fillId="0" borderId="1" xfId="0" applyNumberFormat="1" applyFont="1" applyBorder="1" applyAlignment="1">
      <alignment horizontal="center" vertical="center"/>
    </xf>
    <xf numFmtId="3" fontId="36" fillId="0" borderId="1" xfId="0" applyNumberFormat="1" applyFont="1" applyBorder="1" applyAlignment="1">
      <alignment horizontal="center" vertical="center" wrapText="1"/>
    </xf>
    <xf numFmtId="0" fontId="24" fillId="0" borderId="0" xfId="0" applyFont="1" applyAlignment="1">
      <alignment horizontal="left" vertical="center" wrapText="1"/>
    </xf>
    <xf numFmtId="3" fontId="36" fillId="0" borderId="1" xfId="0" applyNumberFormat="1" applyFont="1" applyBorder="1" applyAlignment="1">
      <alignment horizontal="center" vertical="center"/>
    </xf>
    <xf numFmtId="49" fontId="37" fillId="0" borderId="1" xfId="0" applyNumberFormat="1" applyFont="1" applyBorder="1" applyAlignment="1">
      <alignment horizontal="center" vertical="center" wrapText="1"/>
    </xf>
    <xf numFmtId="10" fontId="36" fillId="0" borderId="1" xfId="1" applyNumberFormat="1" applyFont="1" applyFill="1" applyBorder="1" applyAlignment="1">
      <alignment horizontal="center" vertical="center"/>
    </xf>
    <xf numFmtId="0" fontId="35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0" fillId="7" borderId="1" xfId="0" applyFont="1" applyFill="1" applyBorder="1" applyAlignment="1">
      <alignment horizontal="center" vertical="center"/>
    </xf>
    <xf numFmtId="0" fontId="31" fillId="7" borderId="1" xfId="0" applyFont="1" applyFill="1" applyBorder="1" applyAlignment="1">
      <alignment horizontal="center" vertical="center"/>
    </xf>
    <xf numFmtId="0" fontId="30" fillId="7" borderId="1" xfId="0" applyFont="1" applyFill="1" applyBorder="1" applyAlignment="1">
      <alignment horizontal="center"/>
    </xf>
    <xf numFmtId="0" fontId="34" fillId="8" borderId="4" xfId="0" applyFont="1" applyFill="1" applyBorder="1" applyAlignment="1">
      <alignment horizontal="center" vertical="center"/>
    </xf>
    <xf numFmtId="0" fontId="34" fillId="8" borderId="5" xfId="0" applyFont="1" applyFill="1" applyBorder="1" applyAlignment="1">
      <alignment horizontal="center" vertical="center"/>
    </xf>
    <xf numFmtId="0" fontId="34" fillId="8" borderId="6" xfId="0" applyFont="1" applyFill="1" applyBorder="1" applyAlignment="1">
      <alignment horizontal="center" vertical="center"/>
    </xf>
  </cellXfs>
  <cellStyles count="4">
    <cellStyle name="Normal" xfId="0" builtinId="0"/>
    <cellStyle name="Normal 2" xfId="2" xr:uid="{00000000-0005-0000-0000-000001000000}"/>
    <cellStyle name="Normal 3" xfId="3" xr:uid="{8BB151EE-8A1E-4E05-95B4-33845AA03B90}"/>
    <cellStyle name="Porcentaje" xfId="1" builtinId="5"/>
  </cellStyles>
  <dxfs count="0"/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K19"/>
  <sheetViews>
    <sheetView showGridLines="0" topLeftCell="A6" zoomScale="55" zoomScaleNormal="55" workbookViewId="0">
      <selection activeCell="H7" sqref="H7"/>
    </sheetView>
  </sheetViews>
  <sheetFormatPr baseColWidth="10" defaultRowHeight="14.25" x14ac:dyDescent="0.45"/>
  <cols>
    <col min="1" max="1" width="4.1328125" bestFit="1" customWidth="1"/>
    <col min="2" max="2" width="24.53125" style="1" customWidth="1"/>
    <col min="3" max="3" width="12.6640625" customWidth="1"/>
    <col min="5" max="5" width="16.6640625" customWidth="1"/>
    <col min="6" max="6" width="15.86328125" customWidth="1"/>
    <col min="7" max="7" width="13.46484375" customWidth="1"/>
    <col min="8" max="8" width="74.6640625" customWidth="1"/>
    <col min="9" max="9" width="33.6640625" customWidth="1"/>
    <col min="10" max="10" width="29.33203125" customWidth="1"/>
    <col min="11" max="11" width="26.86328125" customWidth="1"/>
  </cols>
  <sheetData>
    <row r="1" spans="1:11" ht="18" x14ac:dyDescent="0.55000000000000004">
      <c r="A1" s="114" t="s">
        <v>40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</row>
    <row r="2" spans="1:11" ht="16.899999999999999" x14ac:dyDescent="0.65">
      <c r="A2" s="113" t="s">
        <v>9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</row>
    <row r="3" spans="1:11" x14ac:dyDescent="0.45">
      <c r="A3" s="117" t="s">
        <v>94</v>
      </c>
      <c r="B3" s="117"/>
      <c r="C3" s="117"/>
      <c r="D3" s="117"/>
      <c r="E3" s="117"/>
      <c r="F3" s="117"/>
      <c r="G3" s="117"/>
      <c r="H3" s="117"/>
      <c r="I3" s="117"/>
      <c r="J3" s="117"/>
      <c r="K3" s="117"/>
    </row>
    <row r="4" spans="1:11" x14ac:dyDescent="0.45">
      <c r="A4" s="13"/>
      <c r="B4" s="13"/>
      <c r="C4" s="13"/>
    </row>
    <row r="5" spans="1:11" x14ac:dyDescent="0.45">
      <c r="A5" s="115" t="s">
        <v>0</v>
      </c>
      <c r="B5" s="115" t="s">
        <v>10</v>
      </c>
      <c r="C5" s="115" t="s">
        <v>41</v>
      </c>
      <c r="D5" s="112" t="s">
        <v>3</v>
      </c>
      <c r="E5" s="112"/>
      <c r="F5" s="112"/>
      <c r="G5" s="112"/>
      <c r="H5" s="112" t="s">
        <v>7</v>
      </c>
      <c r="I5" s="112" t="s">
        <v>6</v>
      </c>
      <c r="J5" s="112" t="s">
        <v>4</v>
      </c>
      <c r="K5" s="112"/>
    </row>
    <row r="6" spans="1:11" ht="42.75" x14ac:dyDescent="0.45">
      <c r="A6" s="116"/>
      <c r="B6" s="116"/>
      <c r="C6" s="116"/>
      <c r="D6" s="14" t="s">
        <v>5</v>
      </c>
      <c r="E6" s="14" t="s">
        <v>121</v>
      </c>
      <c r="F6" s="14" t="s">
        <v>120</v>
      </c>
      <c r="G6" s="14" t="s">
        <v>8</v>
      </c>
      <c r="H6" s="112"/>
      <c r="I6" s="112"/>
      <c r="J6" s="14" t="s">
        <v>1</v>
      </c>
      <c r="K6" s="14" t="s">
        <v>2</v>
      </c>
    </row>
    <row r="7" spans="1:11" ht="189" x14ac:dyDescent="0.45">
      <c r="A7" s="2">
        <v>1</v>
      </c>
      <c r="B7" s="109" t="s">
        <v>68</v>
      </c>
      <c r="C7" s="104">
        <v>11141</v>
      </c>
      <c r="D7" s="108">
        <f>+TERRITORIALIZACIÓN!J21</f>
        <v>1188</v>
      </c>
      <c r="E7" s="105">
        <f>C7+D7</f>
        <v>12329</v>
      </c>
      <c r="F7" s="106">
        <v>13500</v>
      </c>
      <c r="G7" s="110">
        <f t="shared" ref="G7:G12" si="0">+E7/F7</f>
        <v>0.91325925925925922</v>
      </c>
      <c r="H7" s="107" t="s">
        <v>122</v>
      </c>
      <c r="I7" s="48" t="s">
        <v>64</v>
      </c>
      <c r="J7" s="111"/>
      <c r="K7" s="111"/>
    </row>
    <row r="8" spans="1:11" ht="47.25" customHeight="1" x14ac:dyDescent="0.45">
      <c r="A8" s="2">
        <v>2</v>
      </c>
      <c r="B8" s="29" t="s">
        <v>75</v>
      </c>
      <c r="C8" s="15">
        <v>1</v>
      </c>
      <c r="D8" s="25">
        <v>1</v>
      </c>
      <c r="E8" s="26">
        <f>+C8+D8</f>
        <v>2</v>
      </c>
      <c r="F8" s="27">
        <v>7</v>
      </c>
      <c r="G8" s="22">
        <f t="shared" si="0"/>
        <v>0.2857142857142857</v>
      </c>
      <c r="H8" s="46" t="s">
        <v>95</v>
      </c>
      <c r="I8" s="48"/>
      <c r="J8" s="47"/>
      <c r="K8" s="38"/>
    </row>
    <row r="9" spans="1:11" ht="62.25" customHeight="1" x14ac:dyDescent="0.45">
      <c r="A9" s="42">
        <v>3</v>
      </c>
      <c r="B9" s="29" t="s">
        <v>70</v>
      </c>
      <c r="C9" s="15">
        <v>5992</v>
      </c>
      <c r="D9" s="100">
        <v>420</v>
      </c>
      <c r="E9" s="26">
        <f t="shared" ref="E9:E11" si="1">+C9+D9</f>
        <v>6412</v>
      </c>
      <c r="F9" s="31">
        <v>6483</v>
      </c>
      <c r="G9" s="18">
        <f t="shared" si="0"/>
        <v>0.98904828011722967</v>
      </c>
      <c r="H9" s="28" t="s">
        <v>104</v>
      </c>
      <c r="I9" s="28" t="s">
        <v>105</v>
      </c>
      <c r="J9" s="28" t="s">
        <v>106</v>
      </c>
      <c r="K9" s="28"/>
    </row>
    <row r="10" spans="1:11" ht="69" customHeight="1" x14ac:dyDescent="0.45">
      <c r="A10" s="42">
        <v>4</v>
      </c>
      <c r="B10" s="29" t="s">
        <v>76</v>
      </c>
      <c r="C10" s="15">
        <v>8410</v>
      </c>
      <c r="D10" s="100">
        <v>180</v>
      </c>
      <c r="E10" s="26">
        <f t="shared" si="1"/>
        <v>8590</v>
      </c>
      <c r="F10" s="31">
        <v>8067</v>
      </c>
      <c r="G10" s="18">
        <f t="shared" si="0"/>
        <v>1.0648320317342259</v>
      </c>
      <c r="H10" s="28" t="s">
        <v>107</v>
      </c>
      <c r="I10" s="28" t="s">
        <v>108</v>
      </c>
      <c r="J10" s="28"/>
      <c r="K10" s="28"/>
    </row>
    <row r="11" spans="1:11" ht="50.25" customHeight="1" x14ac:dyDescent="0.45">
      <c r="A11" s="42">
        <v>5</v>
      </c>
      <c r="B11" s="29" t="s">
        <v>71</v>
      </c>
      <c r="C11" s="15">
        <v>362</v>
      </c>
      <c r="D11" s="100">
        <v>1</v>
      </c>
      <c r="E11" s="26">
        <f t="shared" si="1"/>
        <v>363</v>
      </c>
      <c r="F11" s="31">
        <v>325</v>
      </c>
      <c r="G11" s="18">
        <f t="shared" si="0"/>
        <v>1.1169230769230769</v>
      </c>
      <c r="H11" s="28" t="s">
        <v>109</v>
      </c>
      <c r="I11" s="28" t="s">
        <v>110</v>
      </c>
      <c r="J11" s="28"/>
      <c r="K11" s="28"/>
    </row>
    <row r="12" spans="1:11" ht="81" customHeight="1" x14ac:dyDescent="0.45">
      <c r="A12" s="42">
        <v>6</v>
      </c>
      <c r="B12" s="29" t="s">
        <v>72</v>
      </c>
      <c r="C12" s="30">
        <v>5992</v>
      </c>
      <c r="D12" s="26">
        <v>420</v>
      </c>
      <c r="E12" s="26">
        <f>+C12+D12</f>
        <v>6412</v>
      </c>
      <c r="F12" s="31">
        <v>6483</v>
      </c>
      <c r="G12" s="18">
        <f t="shared" si="0"/>
        <v>0.98904828011722967</v>
      </c>
      <c r="H12" s="28" t="s">
        <v>111</v>
      </c>
      <c r="I12" s="28" t="s">
        <v>112</v>
      </c>
      <c r="J12" s="28" t="s">
        <v>113</v>
      </c>
      <c r="K12" s="28"/>
    </row>
    <row r="13" spans="1:11" ht="59.25" customHeight="1" x14ac:dyDescent="0.45">
      <c r="A13" s="42">
        <v>7</v>
      </c>
      <c r="B13" s="52" t="s">
        <v>69</v>
      </c>
      <c r="C13" s="15">
        <v>535</v>
      </c>
      <c r="D13" s="25">
        <v>237</v>
      </c>
      <c r="E13" s="30">
        <f>SUM(C13:D13)</f>
        <v>772</v>
      </c>
      <c r="F13" s="32">
        <v>835</v>
      </c>
      <c r="G13" s="22">
        <f t="shared" ref="G13:G19" si="2">+E13/F13</f>
        <v>0.92455089820359282</v>
      </c>
      <c r="H13" s="46" t="s">
        <v>96</v>
      </c>
      <c r="I13" s="47" t="s">
        <v>67</v>
      </c>
      <c r="J13" s="47"/>
      <c r="K13" s="47"/>
    </row>
    <row r="14" spans="1:11" ht="45" customHeight="1" x14ac:dyDescent="0.45">
      <c r="A14" s="42">
        <v>8</v>
      </c>
      <c r="B14" s="29" t="s">
        <v>77</v>
      </c>
      <c r="C14" s="15">
        <v>518</v>
      </c>
      <c r="D14" s="100">
        <v>143</v>
      </c>
      <c r="E14" s="26">
        <f t="shared" ref="E14:E16" si="3">+C14+D14</f>
        <v>661</v>
      </c>
      <c r="F14" s="31">
        <v>474</v>
      </c>
      <c r="G14" s="18">
        <f t="shared" si="2"/>
        <v>1.3945147679324894</v>
      </c>
      <c r="H14" s="28" t="s">
        <v>114</v>
      </c>
      <c r="I14" s="28" t="s">
        <v>115</v>
      </c>
      <c r="J14" s="28"/>
      <c r="K14" s="28"/>
    </row>
    <row r="15" spans="1:11" ht="65.25" customHeight="1" x14ac:dyDescent="0.45">
      <c r="A15" s="42">
        <v>9</v>
      </c>
      <c r="B15" s="52" t="s">
        <v>73</v>
      </c>
      <c r="C15" s="15">
        <v>2592</v>
      </c>
      <c r="D15" s="100">
        <v>804</v>
      </c>
      <c r="E15" s="26">
        <f t="shared" si="3"/>
        <v>3396</v>
      </c>
      <c r="F15" s="31">
        <v>2165</v>
      </c>
      <c r="G15" s="18">
        <f t="shared" si="2"/>
        <v>1.5685912240184758</v>
      </c>
      <c r="H15" s="28" t="s">
        <v>116</v>
      </c>
      <c r="I15" s="28" t="s">
        <v>117</v>
      </c>
      <c r="J15" s="28"/>
      <c r="K15" s="28"/>
    </row>
    <row r="16" spans="1:11" ht="53.25" customHeight="1" x14ac:dyDescent="0.45">
      <c r="A16" s="42">
        <v>10</v>
      </c>
      <c r="B16" s="29" t="s">
        <v>74</v>
      </c>
      <c r="C16" s="15">
        <v>928</v>
      </c>
      <c r="D16" s="100">
        <v>141</v>
      </c>
      <c r="E16" s="26">
        <f t="shared" si="3"/>
        <v>1069</v>
      </c>
      <c r="F16" s="31">
        <v>573</v>
      </c>
      <c r="G16" s="18">
        <f t="shared" si="2"/>
        <v>1.8656195462478184</v>
      </c>
      <c r="H16" s="28" t="s">
        <v>118</v>
      </c>
      <c r="I16" s="28" t="s">
        <v>119</v>
      </c>
      <c r="J16" s="28"/>
      <c r="K16" s="28"/>
    </row>
    <row r="17" spans="1:11" ht="75" hidden="1" customHeight="1" x14ac:dyDescent="0.45">
      <c r="A17" s="2">
        <v>12</v>
      </c>
      <c r="B17" s="29" t="s">
        <v>48</v>
      </c>
      <c r="C17" s="15"/>
      <c r="D17" s="25">
        <f>+TERRITORIALIZACIÓN!L220</f>
        <v>0</v>
      </c>
      <c r="E17" s="30">
        <f>+C17+D17</f>
        <v>0</v>
      </c>
      <c r="F17" s="32">
        <v>0</v>
      </c>
      <c r="G17" s="22" t="e">
        <f t="shared" si="2"/>
        <v>#DIV/0!</v>
      </c>
      <c r="H17" s="37" t="s">
        <v>49</v>
      </c>
      <c r="I17" s="28" t="s">
        <v>66</v>
      </c>
      <c r="J17" s="33"/>
      <c r="K17" s="34"/>
    </row>
    <row r="18" spans="1:11" ht="46.5" customHeight="1" x14ac:dyDescent="0.45">
      <c r="A18" s="2">
        <v>11</v>
      </c>
      <c r="B18" s="65" t="s">
        <v>78</v>
      </c>
      <c r="C18" s="15">
        <v>5</v>
      </c>
      <c r="D18" s="25">
        <v>3</v>
      </c>
      <c r="E18" s="26">
        <f>+C18+D18</f>
        <v>8</v>
      </c>
      <c r="F18" s="31">
        <v>23</v>
      </c>
      <c r="G18" s="18">
        <f t="shared" si="2"/>
        <v>0.34782608695652173</v>
      </c>
      <c r="H18" s="76" t="s">
        <v>101</v>
      </c>
      <c r="I18" s="47" t="s">
        <v>46</v>
      </c>
      <c r="J18" s="35"/>
      <c r="K18" s="35"/>
    </row>
    <row r="19" spans="1:11" ht="64.5" customHeight="1" x14ac:dyDescent="0.45">
      <c r="A19" s="42">
        <v>12</v>
      </c>
      <c r="B19" s="29" t="s">
        <v>79</v>
      </c>
      <c r="C19" s="15">
        <v>0</v>
      </c>
      <c r="D19" s="25">
        <v>0</v>
      </c>
      <c r="E19" s="26">
        <f t="shared" ref="E19" si="4">+C19+D19</f>
        <v>0</v>
      </c>
      <c r="F19" s="31"/>
      <c r="G19" s="18" t="e">
        <f t="shared" si="2"/>
        <v>#DIV/0!</v>
      </c>
      <c r="H19" s="55"/>
      <c r="I19" s="38" t="s">
        <v>60</v>
      </c>
      <c r="J19" s="38"/>
      <c r="K19" s="51"/>
    </row>
  </sheetData>
  <mergeCells count="10">
    <mergeCell ref="D5:G5"/>
    <mergeCell ref="H5:H6"/>
    <mergeCell ref="A2:K2"/>
    <mergeCell ref="A1:K1"/>
    <mergeCell ref="C5:C6"/>
    <mergeCell ref="B5:B6"/>
    <mergeCell ref="A5:A6"/>
    <mergeCell ref="I5:I6"/>
    <mergeCell ref="J5:K5"/>
    <mergeCell ref="A3:K3"/>
  </mergeCells>
  <printOptions horizontalCentered="1"/>
  <pageMargins left="0.25" right="0.25" top="0.75" bottom="0.75" header="0.3" footer="0.3"/>
  <pageSetup scale="4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20"/>
  <sheetViews>
    <sheetView tabSelected="1" topLeftCell="A14" workbookViewId="0">
      <selection activeCell="J4" sqref="J4:J20"/>
    </sheetView>
  </sheetViews>
  <sheetFormatPr baseColWidth="10" defaultRowHeight="14.25" x14ac:dyDescent="0.45"/>
  <cols>
    <col min="1" max="1" width="21.6640625" bestFit="1" customWidth="1"/>
    <col min="2" max="2" width="12.86328125" customWidth="1"/>
    <col min="257" max="257" width="21.6640625" bestFit="1" customWidth="1"/>
    <col min="513" max="513" width="21.6640625" bestFit="1" customWidth="1"/>
    <col min="769" max="769" width="21.6640625" bestFit="1" customWidth="1"/>
    <col min="1025" max="1025" width="21.6640625" bestFit="1" customWidth="1"/>
    <col min="1281" max="1281" width="21.6640625" bestFit="1" customWidth="1"/>
    <col min="1537" max="1537" width="21.6640625" bestFit="1" customWidth="1"/>
    <col min="1793" max="1793" width="21.6640625" bestFit="1" customWidth="1"/>
    <col min="2049" max="2049" width="21.6640625" bestFit="1" customWidth="1"/>
    <col min="2305" max="2305" width="21.6640625" bestFit="1" customWidth="1"/>
    <col min="2561" max="2561" width="21.6640625" bestFit="1" customWidth="1"/>
    <col min="2817" max="2817" width="21.6640625" bestFit="1" customWidth="1"/>
    <col min="3073" max="3073" width="21.6640625" bestFit="1" customWidth="1"/>
    <col min="3329" max="3329" width="21.6640625" bestFit="1" customWidth="1"/>
    <col min="3585" max="3585" width="21.6640625" bestFit="1" customWidth="1"/>
    <col min="3841" max="3841" width="21.6640625" bestFit="1" customWidth="1"/>
    <col min="4097" max="4097" width="21.6640625" bestFit="1" customWidth="1"/>
    <col min="4353" max="4353" width="21.6640625" bestFit="1" customWidth="1"/>
    <col min="4609" max="4609" width="21.6640625" bestFit="1" customWidth="1"/>
    <col min="4865" max="4865" width="21.6640625" bestFit="1" customWidth="1"/>
    <col min="5121" max="5121" width="21.6640625" bestFit="1" customWidth="1"/>
    <col min="5377" max="5377" width="21.6640625" bestFit="1" customWidth="1"/>
    <col min="5633" max="5633" width="21.6640625" bestFit="1" customWidth="1"/>
    <col min="5889" max="5889" width="21.6640625" bestFit="1" customWidth="1"/>
    <col min="6145" max="6145" width="21.6640625" bestFit="1" customWidth="1"/>
    <col min="6401" max="6401" width="21.6640625" bestFit="1" customWidth="1"/>
    <col min="6657" max="6657" width="21.6640625" bestFit="1" customWidth="1"/>
    <col min="6913" max="6913" width="21.6640625" bestFit="1" customWidth="1"/>
    <col min="7169" max="7169" width="21.6640625" bestFit="1" customWidth="1"/>
    <col min="7425" max="7425" width="21.6640625" bestFit="1" customWidth="1"/>
    <col min="7681" max="7681" width="21.6640625" bestFit="1" customWidth="1"/>
    <col min="7937" max="7937" width="21.6640625" bestFit="1" customWidth="1"/>
    <col min="8193" max="8193" width="21.6640625" bestFit="1" customWidth="1"/>
    <col min="8449" max="8449" width="21.6640625" bestFit="1" customWidth="1"/>
    <col min="8705" max="8705" width="21.6640625" bestFit="1" customWidth="1"/>
    <col min="8961" max="8961" width="21.6640625" bestFit="1" customWidth="1"/>
    <col min="9217" max="9217" width="21.6640625" bestFit="1" customWidth="1"/>
    <col min="9473" max="9473" width="21.6640625" bestFit="1" customWidth="1"/>
    <col min="9729" max="9729" width="21.6640625" bestFit="1" customWidth="1"/>
    <col min="9985" max="9985" width="21.6640625" bestFit="1" customWidth="1"/>
    <col min="10241" max="10241" width="21.6640625" bestFit="1" customWidth="1"/>
    <col min="10497" max="10497" width="21.6640625" bestFit="1" customWidth="1"/>
    <col min="10753" max="10753" width="21.6640625" bestFit="1" customWidth="1"/>
    <col min="11009" max="11009" width="21.6640625" bestFit="1" customWidth="1"/>
    <col min="11265" max="11265" width="21.6640625" bestFit="1" customWidth="1"/>
    <col min="11521" max="11521" width="21.6640625" bestFit="1" customWidth="1"/>
    <col min="11777" max="11777" width="21.6640625" bestFit="1" customWidth="1"/>
    <col min="12033" max="12033" width="21.6640625" bestFit="1" customWidth="1"/>
    <col min="12289" max="12289" width="21.6640625" bestFit="1" customWidth="1"/>
    <col min="12545" max="12545" width="21.6640625" bestFit="1" customWidth="1"/>
    <col min="12801" max="12801" width="21.6640625" bestFit="1" customWidth="1"/>
    <col min="13057" max="13057" width="21.6640625" bestFit="1" customWidth="1"/>
    <col min="13313" max="13313" width="21.6640625" bestFit="1" customWidth="1"/>
    <col min="13569" max="13569" width="21.6640625" bestFit="1" customWidth="1"/>
    <col min="13825" max="13825" width="21.6640625" bestFit="1" customWidth="1"/>
    <col min="14081" max="14081" width="21.6640625" bestFit="1" customWidth="1"/>
    <col min="14337" max="14337" width="21.6640625" bestFit="1" customWidth="1"/>
    <col min="14593" max="14593" width="21.6640625" bestFit="1" customWidth="1"/>
    <col min="14849" max="14849" width="21.6640625" bestFit="1" customWidth="1"/>
    <col min="15105" max="15105" width="21.6640625" bestFit="1" customWidth="1"/>
    <col min="15361" max="15361" width="21.6640625" bestFit="1" customWidth="1"/>
    <col min="15617" max="15617" width="21.6640625" bestFit="1" customWidth="1"/>
    <col min="15873" max="15873" width="21.6640625" bestFit="1" customWidth="1"/>
    <col min="16129" max="16129" width="21.6640625" bestFit="1" customWidth="1"/>
  </cols>
  <sheetData>
    <row r="1" spans="1:17" ht="16.899999999999999" x14ac:dyDescent="0.65">
      <c r="A1" s="3" t="s">
        <v>11</v>
      </c>
      <c r="B1" s="36" t="str">
        <f>+'Informe Gestión Mensual'!B7</f>
        <v>13,550 protagonistas de pequeños y medianos negocios turísticos capacitados.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</row>
    <row r="2" spans="1:17" x14ac:dyDescent="0.45">
      <c r="A2" s="5"/>
      <c r="N2" s="6"/>
    </row>
    <row r="3" spans="1:17" x14ac:dyDescent="0.45">
      <c r="A3" s="7" t="s">
        <v>12</v>
      </c>
      <c r="B3" s="7" t="s">
        <v>13</v>
      </c>
      <c r="C3" s="7" t="s">
        <v>14</v>
      </c>
      <c r="D3" s="7" t="s">
        <v>15</v>
      </c>
      <c r="E3" s="7" t="s">
        <v>16</v>
      </c>
      <c r="F3" s="7" t="s">
        <v>17</v>
      </c>
      <c r="G3" s="7" t="s">
        <v>18</v>
      </c>
      <c r="H3" s="7" t="s">
        <v>19</v>
      </c>
      <c r="I3" s="7" t="s">
        <v>20</v>
      </c>
      <c r="J3" s="7" t="s">
        <v>21</v>
      </c>
      <c r="K3" s="7" t="s">
        <v>22</v>
      </c>
      <c r="L3" s="7" t="s">
        <v>23</v>
      </c>
      <c r="M3" s="7" t="s">
        <v>24</v>
      </c>
      <c r="N3" s="7" t="s">
        <v>25</v>
      </c>
    </row>
    <row r="4" spans="1:17" ht="15.75" x14ac:dyDescent="0.45">
      <c r="A4" s="16" t="s">
        <v>26</v>
      </c>
      <c r="B4" s="39">
        <v>45</v>
      </c>
      <c r="C4" s="12">
        <v>42</v>
      </c>
      <c r="D4" s="12">
        <v>64</v>
      </c>
      <c r="E4" s="12">
        <v>58</v>
      </c>
      <c r="F4" s="12">
        <v>24</v>
      </c>
      <c r="G4" s="12">
        <v>26</v>
      </c>
      <c r="H4" s="12">
        <v>45</v>
      </c>
      <c r="I4" s="12">
        <v>52</v>
      </c>
      <c r="J4" s="12">
        <v>48</v>
      </c>
      <c r="K4" s="88"/>
      <c r="L4" s="12"/>
      <c r="M4" s="12"/>
      <c r="N4" s="11">
        <f>SUM(B4:M4)</f>
        <v>404</v>
      </c>
      <c r="Q4" s="98"/>
    </row>
    <row r="5" spans="1:17" ht="15.75" x14ac:dyDescent="0.45">
      <c r="A5" s="17" t="s">
        <v>27</v>
      </c>
      <c r="B5" s="40">
        <v>47</v>
      </c>
      <c r="C5" s="101">
        <v>59</v>
      </c>
      <c r="D5" s="101">
        <v>56</v>
      </c>
      <c r="E5" s="101">
        <v>43</v>
      </c>
      <c r="F5" s="101">
        <v>61</v>
      </c>
      <c r="G5" s="12">
        <v>68</v>
      </c>
      <c r="H5" s="12">
        <v>29</v>
      </c>
      <c r="I5" s="12">
        <v>77</v>
      </c>
      <c r="J5" s="12">
        <v>99</v>
      </c>
      <c r="K5" s="88"/>
      <c r="L5" s="12"/>
      <c r="M5" s="12"/>
      <c r="N5" s="11">
        <f t="shared" ref="N5:N20" si="0">SUM(B5:M5)</f>
        <v>539</v>
      </c>
      <c r="Q5" s="98"/>
    </row>
    <row r="6" spans="1:17" ht="15.75" x14ac:dyDescent="0.45">
      <c r="A6" s="16" t="s">
        <v>32</v>
      </c>
      <c r="B6" s="39">
        <v>33</v>
      </c>
      <c r="C6" s="12">
        <v>112</v>
      </c>
      <c r="D6" s="12">
        <v>199</v>
      </c>
      <c r="E6" s="12">
        <v>168</v>
      </c>
      <c r="F6" s="12">
        <v>90</v>
      </c>
      <c r="G6" s="12">
        <v>52</v>
      </c>
      <c r="H6" s="12">
        <v>55</v>
      </c>
      <c r="I6" s="12">
        <v>100</v>
      </c>
      <c r="J6" s="12">
        <v>149</v>
      </c>
      <c r="K6" s="88"/>
      <c r="L6" s="12"/>
      <c r="M6" s="12"/>
      <c r="N6" s="11">
        <f t="shared" si="0"/>
        <v>958</v>
      </c>
      <c r="Q6" s="98"/>
    </row>
    <row r="7" spans="1:17" ht="15.75" x14ac:dyDescent="0.45">
      <c r="A7" s="17" t="s">
        <v>28</v>
      </c>
      <c r="B7" s="39">
        <v>28</v>
      </c>
      <c r="C7" s="12">
        <v>89</v>
      </c>
      <c r="D7" s="12">
        <v>59</v>
      </c>
      <c r="E7" s="12">
        <v>87</v>
      </c>
      <c r="F7" s="12">
        <v>49</v>
      </c>
      <c r="G7" s="12">
        <v>44</v>
      </c>
      <c r="H7" s="12">
        <v>58</v>
      </c>
      <c r="I7" s="12">
        <v>63</v>
      </c>
      <c r="J7" s="12">
        <v>112</v>
      </c>
      <c r="K7" s="88"/>
      <c r="L7" s="12"/>
      <c r="M7" s="12"/>
      <c r="N7" s="11">
        <f t="shared" si="0"/>
        <v>589</v>
      </c>
      <c r="Q7" s="98"/>
    </row>
    <row r="8" spans="1:17" ht="15.75" x14ac:dyDescent="0.45">
      <c r="A8" s="16" t="s">
        <v>30</v>
      </c>
      <c r="B8" s="39">
        <v>22</v>
      </c>
      <c r="C8" s="12">
        <v>44</v>
      </c>
      <c r="D8" s="12">
        <v>64</v>
      </c>
      <c r="E8" s="12">
        <v>25</v>
      </c>
      <c r="F8" s="12">
        <v>137</v>
      </c>
      <c r="G8" s="12">
        <v>46</v>
      </c>
      <c r="H8" s="12">
        <v>80</v>
      </c>
      <c r="I8" s="12">
        <v>44</v>
      </c>
      <c r="J8" s="12">
        <v>73</v>
      </c>
      <c r="K8" s="89"/>
      <c r="L8" s="12"/>
      <c r="M8" s="12"/>
      <c r="N8" s="11">
        <f>SUM(B8:M8)</f>
        <v>535</v>
      </c>
      <c r="Q8" s="98"/>
    </row>
    <row r="9" spans="1:17" ht="15.75" x14ac:dyDescent="0.45">
      <c r="A9" s="17" t="s">
        <v>33</v>
      </c>
      <c r="B9" s="41">
        <v>44</v>
      </c>
      <c r="C9" s="12">
        <v>56</v>
      </c>
      <c r="D9" s="12">
        <v>144</v>
      </c>
      <c r="E9" s="12">
        <v>61</v>
      </c>
      <c r="F9" s="12">
        <v>78</v>
      </c>
      <c r="G9" s="12">
        <v>91</v>
      </c>
      <c r="H9" s="12">
        <v>104</v>
      </c>
      <c r="I9" s="12">
        <v>127</v>
      </c>
      <c r="J9" s="12">
        <v>49</v>
      </c>
      <c r="K9" s="88"/>
      <c r="L9" s="12"/>
      <c r="M9" s="12"/>
      <c r="N9" s="11">
        <f t="shared" si="0"/>
        <v>754</v>
      </c>
      <c r="Q9" s="98"/>
    </row>
    <row r="10" spans="1:17" ht="15.75" x14ac:dyDescent="0.45">
      <c r="A10" s="16" t="s">
        <v>34</v>
      </c>
      <c r="B10" s="41">
        <v>26</v>
      </c>
      <c r="C10" s="12">
        <v>21</v>
      </c>
      <c r="D10" s="12">
        <v>51</v>
      </c>
      <c r="E10" s="12">
        <v>27</v>
      </c>
      <c r="F10" s="12">
        <v>17</v>
      </c>
      <c r="G10" s="12">
        <v>47</v>
      </c>
      <c r="H10" s="12">
        <v>66</v>
      </c>
      <c r="I10" s="12">
        <v>15</v>
      </c>
      <c r="J10" s="12">
        <v>0</v>
      </c>
      <c r="K10" s="88"/>
      <c r="L10" s="12"/>
      <c r="M10" s="12"/>
      <c r="N10" s="11">
        <f t="shared" si="0"/>
        <v>270</v>
      </c>
      <c r="Q10" s="98"/>
    </row>
    <row r="11" spans="1:17" ht="15.75" x14ac:dyDescent="0.45">
      <c r="A11" s="17" t="s">
        <v>31</v>
      </c>
      <c r="B11" s="41">
        <v>39</v>
      </c>
      <c r="C11" s="12">
        <v>101</v>
      </c>
      <c r="D11" s="12">
        <v>139</v>
      </c>
      <c r="E11" s="12">
        <v>83</v>
      </c>
      <c r="F11" s="101">
        <v>227</v>
      </c>
      <c r="G11" s="101">
        <v>150</v>
      </c>
      <c r="H11" s="101">
        <v>123</v>
      </c>
      <c r="I11" s="12">
        <v>109</v>
      </c>
      <c r="J11" s="12">
        <v>23</v>
      </c>
      <c r="K11" s="88"/>
      <c r="L11" s="12"/>
      <c r="M11" s="12"/>
      <c r="N11" s="11">
        <f t="shared" si="0"/>
        <v>994</v>
      </c>
      <c r="Q11" s="98"/>
    </row>
    <row r="12" spans="1:17" ht="15.75" x14ac:dyDescent="0.45">
      <c r="A12" s="16" t="s">
        <v>35</v>
      </c>
      <c r="B12" s="41">
        <v>94</v>
      </c>
      <c r="C12" s="12">
        <v>65</v>
      </c>
      <c r="D12" s="12">
        <v>112</v>
      </c>
      <c r="E12" s="12">
        <v>50</v>
      </c>
      <c r="F12" s="12">
        <v>54</v>
      </c>
      <c r="G12" s="12">
        <v>57</v>
      </c>
      <c r="H12" s="12">
        <v>134</v>
      </c>
      <c r="I12" s="12">
        <v>73</v>
      </c>
      <c r="J12" s="12">
        <v>74</v>
      </c>
      <c r="K12" s="88"/>
      <c r="L12" s="12"/>
      <c r="M12" s="12"/>
      <c r="N12" s="11">
        <f t="shared" si="0"/>
        <v>713</v>
      </c>
      <c r="Q12" s="98"/>
    </row>
    <row r="13" spans="1:17" ht="15.75" x14ac:dyDescent="0.45">
      <c r="A13" s="17" t="s">
        <v>39</v>
      </c>
      <c r="B13" s="41">
        <v>200</v>
      </c>
      <c r="C13" s="12">
        <v>268</v>
      </c>
      <c r="D13" s="12">
        <v>157</v>
      </c>
      <c r="E13" s="12">
        <v>168</v>
      </c>
      <c r="F13" s="12">
        <v>153</v>
      </c>
      <c r="G13" s="12">
        <v>68</v>
      </c>
      <c r="H13" s="12">
        <v>120</v>
      </c>
      <c r="I13" s="12">
        <v>266</v>
      </c>
      <c r="J13" s="12">
        <v>120</v>
      </c>
      <c r="K13" s="88"/>
      <c r="L13" s="12"/>
      <c r="M13" s="12"/>
      <c r="N13" s="11">
        <f t="shared" si="0"/>
        <v>1520</v>
      </c>
      <c r="Q13" s="98"/>
    </row>
    <row r="14" spans="1:17" ht="15.75" x14ac:dyDescent="0.45">
      <c r="A14" s="16" t="s">
        <v>36</v>
      </c>
      <c r="B14" s="102">
        <v>160</v>
      </c>
      <c r="C14" s="101">
        <v>246</v>
      </c>
      <c r="D14" s="101">
        <v>184</v>
      </c>
      <c r="E14" s="101">
        <v>58</v>
      </c>
      <c r="F14" s="101">
        <v>174</v>
      </c>
      <c r="G14" s="101">
        <v>91</v>
      </c>
      <c r="H14" s="101">
        <v>69</v>
      </c>
      <c r="I14" s="101">
        <v>137</v>
      </c>
      <c r="J14" s="101">
        <v>35</v>
      </c>
      <c r="K14" s="88"/>
      <c r="L14" s="101"/>
      <c r="M14" s="101"/>
      <c r="N14" s="103">
        <f t="shared" si="0"/>
        <v>1154</v>
      </c>
      <c r="Q14" s="98"/>
    </row>
    <row r="15" spans="1:17" ht="15.75" x14ac:dyDescent="0.45">
      <c r="A15" s="17" t="s">
        <v>29</v>
      </c>
      <c r="B15" s="102">
        <v>29</v>
      </c>
      <c r="C15" s="101">
        <v>95</v>
      </c>
      <c r="D15" s="101">
        <v>248</v>
      </c>
      <c r="E15" s="101">
        <v>121</v>
      </c>
      <c r="F15" s="101">
        <v>99</v>
      </c>
      <c r="G15" s="101">
        <v>56</v>
      </c>
      <c r="H15" s="101">
        <v>44</v>
      </c>
      <c r="I15" s="101">
        <v>16</v>
      </c>
      <c r="J15" s="101">
        <v>49</v>
      </c>
      <c r="K15" s="88"/>
      <c r="L15" s="101"/>
      <c r="M15" s="101"/>
      <c r="N15" s="103">
        <f t="shared" si="0"/>
        <v>757</v>
      </c>
      <c r="Q15" s="98"/>
    </row>
    <row r="16" spans="1:17" ht="15.75" x14ac:dyDescent="0.45">
      <c r="A16" s="16" t="s">
        <v>37</v>
      </c>
      <c r="B16" s="41">
        <v>57</v>
      </c>
      <c r="C16" s="12">
        <v>88</v>
      </c>
      <c r="D16" s="12">
        <v>76</v>
      </c>
      <c r="E16" s="12">
        <v>72</v>
      </c>
      <c r="F16" s="12">
        <v>71</v>
      </c>
      <c r="G16" s="12">
        <v>65</v>
      </c>
      <c r="H16" s="12">
        <v>108</v>
      </c>
      <c r="I16" s="50">
        <v>41</v>
      </c>
      <c r="J16" s="12">
        <v>14</v>
      </c>
      <c r="K16" s="88"/>
      <c r="L16" s="12"/>
      <c r="M16" s="12"/>
      <c r="N16" s="11">
        <f>SUM(B16:M16)</f>
        <v>592</v>
      </c>
      <c r="Q16" s="98"/>
    </row>
    <row r="17" spans="1:17" ht="15.75" x14ac:dyDescent="0.45">
      <c r="A17" s="17" t="s">
        <v>61</v>
      </c>
      <c r="B17" s="41">
        <v>20</v>
      </c>
      <c r="C17" s="12">
        <v>102</v>
      </c>
      <c r="D17" s="12">
        <v>52</v>
      </c>
      <c r="E17" s="12">
        <v>36</v>
      </c>
      <c r="F17" s="12">
        <v>47</v>
      </c>
      <c r="G17" s="12">
        <v>33</v>
      </c>
      <c r="H17" s="12">
        <v>14</v>
      </c>
      <c r="I17" s="12">
        <v>77</v>
      </c>
      <c r="J17" s="12">
        <v>20</v>
      </c>
      <c r="K17" s="88"/>
      <c r="L17" s="12"/>
      <c r="M17" s="12"/>
      <c r="N17" s="11">
        <f t="shared" si="0"/>
        <v>401</v>
      </c>
      <c r="Q17" s="98"/>
    </row>
    <row r="18" spans="1:17" ht="15.75" x14ac:dyDescent="0.45">
      <c r="A18" s="16" t="s">
        <v>62</v>
      </c>
      <c r="B18" s="41">
        <v>56</v>
      </c>
      <c r="C18" s="12">
        <v>25</v>
      </c>
      <c r="D18" s="12">
        <v>88</v>
      </c>
      <c r="E18" s="12">
        <v>153</v>
      </c>
      <c r="F18" s="12">
        <v>78</v>
      </c>
      <c r="G18" s="12">
        <v>85</v>
      </c>
      <c r="H18" s="12">
        <v>8</v>
      </c>
      <c r="I18" s="12">
        <v>118</v>
      </c>
      <c r="J18" s="12">
        <v>63</v>
      </c>
      <c r="K18" s="88"/>
      <c r="L18" s="12"/>
      <c r="M18" s="12"/>
      <c r="N18" s="11">
        <f t="shared" si="0"/>
        <v>674</v>
      </c>
      <c r="Q18" s="98"/>
    </row>
    <row r="19" spans="1:17" ht="15.75" x14ac:dyDescent="0.45">
      <c r="A19" s="17" t="s">
        <v>42</v>
      </c>
      <c r="B19" s="41">
        <v>46</v>
      </c>
      <c r="C19" s="12">
        <v>150</v>
      </c>
      <c r="D19" s="12">
        <v>55</v>
      </c>
      <c r="E19" s="12">
        <v>16</v>
      </c>
      <c r="F19" s="12">
        <v>50</v>
      </c>
      <c r="G19" s="12">
        <v>20</v>
      </c>
      <c r="H19" s="12">
        <v>57</v>
      </c>
      <c r="I19" s="12">
        <v>50</v>
      </c>
      <c r="J19" s="12">
        <v>145</v>
      </c>
      <c r="K19" s="88"/>
      <c r="L19" s="12"/>
      <c r="M19" s="12"/>
      <c r="N19" s="11">
        <f t="shared" si="0"/>
        <v>589</v>
      </c>
      <c r="Q19" s="98"/>
    </row>
    <row r="20" spans="1:17" ht="15.75" x14ac:dyDescent="0.45">
      <c r="A20" s="16" t="s">
        <v>38</v>
      </c>
      <c r="B20" s="41">
        <v>48</v>
      </c>
      <c r="C20" s="12">
        <v>199</v>
      </c>
      <c r="D20" s="12">
        <v>190</v>
      </c>
      <c r="E20" s="12">
        <v>76</v>
      </c>
      <c r="F20" s="12">
        <v>94</v>
      </c>
      <c r="G20" s="12">
        <v>30</v>
      </c>
      <c r="H20" s="12">
        <v>37</v>
      </c>
      <c r="I20" s="12">
        <v>97</v>
      </c>
      <c r="J20" s="12">
        <v>115</v>
      </c>
      <c r="K20" s="88"/>
      <c r="L20" s="12"/>
      <c r="M20" s="12"/>
      <c r="N20" s="11">
        <f t="shared" si="0"/>
        <v>886</v>
      </c>
      <c r="Q20" s="98"/>
    </row>
    <row r="21" spans="1:17" ht="16.899999999999999" x14ac:dyDescent="0.65">
      <c r="A21" s="8" t="s">
        <v>63</v>
      </c>
      <c r="B21" s="7">
        <f>SUM(B4:B20)</f>
        <v>994</v>
      </c>
      <c r="C21" s="7">
        <f>SUM(C4:C20)</f>
        <v>1762</v>
      </c>
      <c r="D21" s="7">
        <f t="shared" ref="D21:M21" si="1">SUM(D4:D20)</f>
        <v>1938</v>
      </c>
      <c r="E21" s="7">
        <f t="shared" si="1"/>
        <v>1302</v>
      </c>
      <c r="F21" s="7">
        <f t="shared" si="1"/>
        <v>1503</v>
      </c>
      <c r="G21" s="7">
        <f t="shared" si="1"/>
        <v>1029</v>
      </c>
      <c r="H21" s="7">
        <f t="shared" si="1"/>
        <v>1151</v>
      </c>
      <c r="I21" s="7">
        <f t="shared" si="1"/>
        <v>1462</v>
      </c>
      <c r="J21" s="7">
        <f t="shared" si="1"/>
        <v>1188</v>
      </c>
      <c r="K21" s="7">
        <f t="shared" si="1"/>
        <v>0</v>
      </c>
      <c r="L21" s="7">
        <f>SUM(L4:L20)</f>
        <v>0</v>
      </c>
      <c r="M21" s="7">
        <f t="shared" si="1"/>
        <v>0</v>
      </c>
      <c r="N21" s="9">
        <f>SUM(B21:M21)</f>
        <v>12329</v>
      </c>
    </row>
    <row r="23" spans="1:17" ht="16.899999999999999" x14ac:dyDescent="0.65">
      <c r="A23" s="3" t="s">
        <v>11</v>
      </c>
      <c r="B23" s="19" t="s">
        <v>45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4"/>
    </row>
    <row r="24" spans="1:17" x14ac:dyDescent="0.45">
      <c r="A24" s="5"/>
      <c r="N24" s="6"/>
    </row>
    <row r="25" spans="1:17" x14ac:dyDescent="0.45">
      <c r="A25" s="7" t="s">
        <v>12</v>
      </c>
      <c r="B25" s="7" t="s">
        <v>13</v>
      </c>
      <c r="C25" s="7" t="s">
        <v>14</v>
      </c>
      <c r="D25" s="7" t="s">
        <v>15</v>
      </c>
      <c r="E25" s="7" t="s">
        <v>16</v>
      </c>
      <c r="F25" s="7" t="s">
        <v>17</v>
      </c>
      <c r="G25" s="7" t="s">
        <v>18</v>
      </c>
      <c r="H25" s="7" t="s">
        <v>19</v>
      </c>
      <c r="I25" s="7" t="s">
        <v>20</v>
      </c>
      <c r="J25" s="7" t="s">
        <v>21</v>
      </c>
      <c r="K25" s="7" t="s">
        <v>22</v>
      </c>
      <c r="L25" s="7" t="s">
        <v>23</v>
      </c>
      <c r="M25" s="7" t="s">
        <v>24</v>
      </c>
      <c r="N25" s="7" t="s">
        <v>25</v>
      </c>
    </row>
    <row r="26" spans="1:17" ht="15.75" x14ac:dyDescent="0.45">
      <c r="A26" s="16" t="s">
        <v>26</v>
      </c>
      <c r="B26" s="12">
        <v>1</v>
      </c>
      <c r="C26" s="21"/>
      <c r="D26" s="12"/>
      <c r="E26" s="12"/>
      <c r="F26" s="12"/>
      <c r="G26" s="12"/>
      <c r="H26" s="12"/>
      <c r="I26" s="12"/>
      <c r="J26" s="12"/>
      <c r="K26" s="12"/>
      <c r="L26" s="12"/>
      <c r="M26" s="10"/>
      <c r="N26" s="11">
        <f>SUM(B26:M26)</f>
        <v>1</v>
      </c>
    </row>
    <row r="27" spans="1:17" ht="15.75" x14ac:dyDescent="0.45">
      <c r="A27" s="17" t="s">
        <v>27</v>
      </c>
      <c r="B27" s="12"/>
      <c r="C27" s="21"/>
      <c r="D27" s="12"/>
      <c r="E27" s="12"/>
      <c r="F27" s="12"/>
      <c r="G27" s="12"/>
      <c r="H27" s="12"/>
      <c r="I27" s="12"/>
      <c r="J27" s="12"/>
      <c r="K27" s="12"/>
      <c r="L27" s="12"/>
      <c r="M27" s="10"/>
      <c r="N27" s="11">
        <f t="shared" ref="N27:N29" si="2">SUM(B27:M27)</f>
        <v>0</v>
      </c>
    </row>
    <row r="28" spans="1:17" ht="15.75" x14ac:dyDescent="0.45">
      <c r="A28" s="16" t="s">
        <v>32</v>
      </c>
      <c r="B28" s="12"/>
      <c r="C28" s="21"/>
      <c r="D28" s="12"/>
      <c r="E28" s="12"/>
      <c r="F28" s="12"/>
      <c r="G28" s="12"/>
      <c r="H28" s="12"/>
      <c r="I28" s="12"/>
      <c r="J28" s="12"/>
      <c r="K28" s="12"/>
      <c r="L28" s="12"/>
      <c r="M28" s="10"/>
      <c r="N28" s="11">
        <f t="shared" si="2"/>
        <v>0</v>
      </c>
    </row>
    <row r="29" spans="1:17" ht="15.75" x14ac:dyDescent="0.5">
      <c r="A29" s="17" t="s">
        <v>28</v>
      </c>
      <c r="B29" s="12"/>
      <c r="C29" s="20"/>
      <c r="D29" s="12"/>
      <c r="E29" s="12"/>
      <c r="F29" s="12"/>
      <c r="G29" s="12"/>
      <c r="H29" s="12"/>
      <c r="I29" s="12"/>
      <c r="J29" s="12"/>
      <c r="K29" s="12"/>
      <c r="L29" s="12"/>
      <c r="M29" s="10"/>
      <c r="N29" s="11">
        <f t="shared" si="2"/>
        <v>0</v>
      </c>
      <c r="Q29" s="49"/>
    </row>
    <row r="30" spans="1:17" ht="15.75" x14ac:dyDescent="0.45">
      <c r="A30" s="16" t="s">
        <v>30</v>
      </c>
      <c r="B30" s="12"/>
      <c r="C30" s="20">
        <v>1</v>
      </c>
      <c r="D30" s="12"/>
      <c r="E30" s="12"/>
      <c r="F30" s="12">
        <v>1</v>
      </c>
      <c r="G30" s="12"/>
      <c r="H30" s="12"/>
      <c r="I30" s="12"/>
      <c r="J30" s="12"/>
      <c r="K30" s="12"/>
      <c r="L30" s="12"/>
      <c r="M30" s="10"/>
      <c r="N30" s="11">
        <f>SUM(B30:M30)</f>
        <v>2</v>
      </c>
    </row>
    <row r="31" spans="1:17" ht="15.75" x14ac:dyDescent="0.45">
      <c r="A31" s="17" t="s">
        <v>33</v>
      </c>
      <c r="B31" s="12">
        <v>1</v>
      </c>
      <c r="C31" s="20"/>
      <c r="D31" s="12"/>
      <c r="E31" s="12"/>
      <c r="F31" s="12">
        <v>1</v>
      </c>
      <c r="G31" s="12"/>
      <c r="H31" s="12"/>
      <c r="I31" s="12"/>
      <c r="J31" s="12"/>
      <c r="K31" s="12"/>
      <c r="L31" s="12"/>
      <c r="M31" s="10"/>
      <c r="N31" s="11">
        <f t="shared" ref="N31:N37" si="3">SUM(B31:M31)</f>
        <v>2</v>
      </c>
    </row>
    <row r="32" spans="1:17" ht="15.75" x14ac:dyDescent="0.45">
      <c r="A32" s="16" t="s">
        <v>34</v>
      </c>
      <c r="B32" s="12"/>
      <c r="C32" s="20">
        <v>1</v>
      </c>
      <c r="D32" s="12">
        <v>1</v>
      </c>
      <c r="E32" s="12"/>
      <c r="F32" s="12">
        <v>1</v>
      </c>
      <c r="G32" s="12"/>
      <c r="H32" s="12"/>
      <c r="I32" s="12"/>
      <c r="J32" s="12"/>
      <c r="K32" s="12"/>
      <c r="L32" s="12"/>
      <c r="M32" s="10"/>
      <c r="N32" s="11">
        <f t="shared" si="3"/>
        <v>3</v>
      </c>
    </row>
    <row r="33" spans="1:14" ht="15.75" x14ac:dyDescent="0.45">
      <c r="A33" s="17" t="s">
        <v>31</v>
      </c>
      <c r="B33" s="12"/>
      <c r="C33" s="20"/>
      <c r="D33" s="12">
        <v>1</v>
      </c>
      <c r="E33" s="12"/>
      <c r="F33" s="12"/>
      <c r="G33" s="12"/>
      <c r="H33" s="12"/>
      <c r="I33" s="12"/>
      <c r="J33" s="12"/>
      <c r="K33" s="12"/>
      <c r="L33" s="12"/>
      <c r="M33" s="10"/>
      <c r="N33" s="11">
        <f t="shared" si="3"/>
        <v>1</v>
      </c>
    </row>
    <row r="34" spans="1:14" ht="15.75" x14ac:dyDescent="0.45">
      <c r="A34" s="16" t="s">
        <v>35</v>
      </c>
      <c r="B34" s="12"/>
      <c r="C34" s="20">
        <v>1</v>
      </c>
      <c r="D34" s="12"/>
      <c r="E34" s="12"/>
      <c r="F34" s="31">
        <v>1</v>
      </c>
      <c r="G34" s="12"/>
      <c r="H34" s="12"/>
      <c r="I34" s="12"/>
      <c r="J34" s="12"/>
      <c r="K34" s="12"/>
      <c r="L34" s="12"/>
      <c r="M34" s="10"/>
      <c r="N34" s="11">
        <f t="shared" si="3"/>
        <v>2</v>
      </c>
    </row>
    <row r="35" spans="1:14" ht="15.75" x14ac:dyDescent="0.45">
      <c r="A35" s="17" t="s">
        <v>39</v>
      </c>
      <c r="B35" s="12"/>
      <c r="C35" s="20">
        <v>2</v>
      </c>
      <c r="D35" s="12">
        <v>2</v>
      </c>
      <c r="E35" s="12">
        <v>2</v>
      </c>
      <c r="F35" s="12">
        <v>2</v>
      </c>
      <c r="G35" s="12"/>
      <c r="H35" s="12"/>
      <c r="I35" s="12"/>
      <c r="J35" s="12"/>
      <c r="K35" s="12"/>
      <c r="L35" s="12"/>
      <c r="M35" s="10"/>
      <c r="N35" s="11">
        <f t="shared" si="3"/>
        <v>8</v>
      </c>
    </row>
    <row r="36" spans="1:14" ht="15.75" x14ac:dyDescent="0.45">
      <c r="A36" s="16" t="s">
        <v>36</v>
      </c>
      <c r="B36" s="12"/>
      <c r="C36" s="20">
        <v>1</v>
      </c>
      <c r="D36" s="12"/>
      <c r="E36" s="12"/>
      <c r="F36" s="12"/>
      <c r="G36" s="12"/>
      <c r="H36" s="12"/>
      <c r="I36" s="12"/>
      <c r="J36" s="12"/>
      <c r="K36" s="12"/>
      <c r="L36" s="12"/>
      <c r="M36" s="10"/>
      <c r="N36" s="11">
        <f t="shared" si="3"/>
        <v>1</v>
      </c>
    </row>
    <row r="37" spans="1:14" ht="15.75" x14ac:dyDescent="0.45">
      <c r="A37" s="17" t="s">
        <v>29</v>
      </c>
      <c r="B37" s="12"/>
      <c r="C37" s="20"/>
      <c r="D37" s="12"/>
      <c r="E37" s="12">
        <v>1</v>
      </c>
      <c r="F37" s="10"/>
      <c r="G37" s="12"/>
      <c r="H37" s="12"/>
      <c r="I37" s="12"/>
      <c r="J37" s="12"/>
      <c r="K37" s="12"/>
      <c r="L37" s="12"/>
      <c r="M37" s="10"/>
      <c r="N37" s="11">
        <f t="shared" si="3"/>
        <v>1</v>
      </c>
    </row>
    <row r="38" spans="1:14" ht="15.75" x14ac:dyDescent="0.45">
      <c r="A38" s="16" t="s">
        <v>37</v>
      </c>
      <c r="B38" s="12"/>
      <c r="C38" s="20"/>
      <c r="D38" s="12"/>
      <c r="E38" s="12"/>
      <c r="F38" s="31">
        <v>1</v>
      </c>
      <c r="G38" s="12"/>
      <c r="H38" s="12"/>
      <c r="I38" s="12"/>
      <c r="J38" s="12"/>
      <c r="K38" s="12"/>
      <c r="L38" s="12"/>
      <c r="M38" s="10"/>
      <c r="N38" s="11">
        <f>SUM(B38:M38)</f>
        <v>1</v>
      </c>
    </row>
    <row r="39" spans="1:14" ht="15.75" x14ac:dyDescent="0.45">
      <c r="A39" s="17" t="s">
        <v>61</v>
      </c>
      <c r="B39" s="10"/>
      <c r="C39" s="20"/>
      <c r="D39" s="12"/>
      <c r="E39" s="12"/>
      <c r="F39" s="12"/>
      <c r="G39" s="12"/>
      <c r="H39" s="12"/>
      <c r="I39" s="12"/>
      <c r="J39" s="12"/>
      <c r="K39" s="12"/>
      <c r="L39" s="12"/>
      <c r="M39" s="10"/>
      <c r="N39" s="11">
        <f t="shared" ref="N39:N42" si="4">SUM(B39:M39)</f>
        <v>0</v>
      </c>
    </row>
    <row r="40" spans="1:14" ht="15.75" x14ac:dyDescent="0.45">
      <c r="A40" s="16" t="s">
        <v>62</v>
      </c>
      <c r="B40" s="12"/>
      <c r="C40" s="20"/>
      <c r="D40" s="12"/>
      <c r="E40" s="12">
        <v>2</v>
      </c>
      <c r="F40" s="12"/>
      <c r="G40" s="12"/>
      <c r="H40" s="12"/>
      <c r="I40" s="12"/>
      <c r="J40" s="12"/>
      <c r="K40" s="12"/>
      <c r="L40" s="12"/>
      <c r="M40" s="10"/>
      <c r="N40" s="11">
        <f t="shared" si="4"/>
        <v>2</v>
      </c>
    </row>
    <row r="41" spans="1:14" ht="15.75" x14ac:dyDescent="0.45">
      <c r="A41" s="17" t="s">
        <v>42</v>
      </c>
      <c r="B41" s="12"/>
      <c r="C41" s="20">
        <v>1</v>
      </c>
      <c r="D41" s="12"/>
      <c r="E41" s="12"/>
      <c r="F41" s="12"/>
      <c r="G41" s="12"/>
      <c r="H41" s="12"/>
      <c r="I41" s="12"/>
      <c r="J41" s="12"/>
      <c r="K41" s="12"/>
      <c r="L41" s="12"/>
      <c r="M41" s="10"/>
      <c r="N41" s="11">
        <f t="shared" si="4"/>
        <v>1</v>
      </c>
    </row>
    <row r="42" spans="1:14" ht="15.75" x14ac:dyDescent="0.45">
      <c r="A42" s="16" t="s">
        <v>38</v>
      </c>
      <c r="B42" s="12"/>
      <c r="C42" s="20"/>
      <c r="D42" s="12"/>
      <c r="E42" s="12">
        <v>1</v>
      </c>
      <c r="F42" s="12">
        <v>1</v>
      </c>
      <c r="G42" s="12"/>
      <c r="H42" s="12"/>
      <c r="I42" s="12"/>
      <c r="J42" s="12"/>
      <c r="K42" s="12"/>
      <c r="L42" s="12"/>
      <c r="M42" s="10"/>
      <c r="N42" s="11">
        <f t="shared" si="4"/>
        <v>2</v>
      </c>
    </row>
    <row r="43" spans="1:14" ht="16.899999999999999" x14ac:dyDescent="0.65">
      <c r="A43" s="8" t="s">
        <v>25</v>
      </c>
      <c r="B43" s="7">
        <f>SUM(B26:B42)</f>
        <v>2</v>
      </c>
      <c r="C43" s="7">
        <f>SUM(C26:C42)</f>
        <v>7</v>
      </c>
      <c r="D43" s="7">
        <f t="shared" ref="D43:K43" si="5">SUM(D26:D42)</f>
        <v>4</v>
      </c>
      <c r="E43" s="7">
        <f t="shared" si="5"/>
        <v>6</v>
      </c>
      <c r="F43" s="7">
        <f>SUM(F26:F42)</f>
        <v>8</v>
      </c>
      <c r="G43" s="7">
        <f t="shared" si="5"/>
        <v>0</v>
      </c>
      <c r="H43" s="7">
        <f t="shared" si="5"/>
        <v>0</v>
      </c>
      <c r="I43" s="7">
        <f t="shared" si="5"/>
        <v>0</v>
      </c>
      <c r="J43" s="7">
        <f t="shared" si="5"/>
        <v>0</v>
      </c>
      <c r="K43" s="7">
        <f t="shared" si="5"/>
        <v>0</v>
      </c>
      <c r="L43" s="7">
        <f>SUM(L26:L42)</f>
        <v>0</v>
      </c>
      <c r="M43" s="7">
        <f t="shared" ref="M43" si="6">SUM(M26:M42)</f>
        <v>0</v>
      </c>
      <c r="N43" s="9">
        <f>SUM(B43:M43)</f>
        <v>27</v>
      </c>
    </row>
    <row r="45" spans="1:14" ht="16.899999999999999" x14ac:dyDescent="0.65">
      <c r="A45" s="3" t="s">
        <v>11</v>
      </c>
      <c r="B45" s="36" t="str">
        <f>+'Informe Gestión Mensual'!B9</f>
        <v xml:space="preserve"> 7,152 Empresas Turísticas Autorizadas por INTUR.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4"/>
    </row>
    <row r="46" spans="1:14" x14ac:dyDescent="0.45">
      <c r="A46" s="5"/>
      <c r="N46" s="6"/>
    </row>
    <row r="47" spans="1:14" x14ac:dyDescent="0.45">
      <c r="A47" s="7" t="s">
        <v>12</v>
      </c>
      <c r="B47" s="7" t="s">
        <v>13</v>
      </c>
      <c r="C47" s="7" t="s">
        <v>14</v>
      </c>
      <c r="D47" s="7" t="s">
        <v>15</v>
      </c>
      <c r="E47" s="7" t="s">
        <v>16</v>
      </c>
      <c r="F47" s="7" t="s">
        <v>17</v>
      </c>
      <c r="G47" s="7" t="s">
        <v>18</v>
      </c>
      <c r="H47" s="7" t="s">
        <v>19</v>
      </c>
      <c r="I47" s="7" t="s">
        <v>20</v>
      </c>
      <c r="J47" s="7" t="s">
        <v>21</v>
      </c>
      <c r="K47" s="7" t="s">
        <v>22</v>
      </c>
      <c r="L47" s="7" t="s">
        <v>23</v>
      </c>
      <c r="M47" s="7" t="s">
        <v>24</v>
      </c>
      <c r="N47" s="7" t="s">
        <v>25</v>
      </c>
    </row>
    <row r="48" spans="1:14" x14ac:dyDescent="0.45">
      <c r="A48" s="16" t="s">
        <v>26</v>
      </c>
      <c r="B48" s="12">
        <v>16</v>
      </c>
      <c r="C48" s="12">
        <v>40</v>
      </c>
      <c r="D48" s="12">
        <v>44</v>
      </c>
      <c r="E48" s="12">
        <v>14</v>
      </c>
      <c r="F48" s="12">
        <v>10</v>
      </c>
      <c r="G48" s="12"/>
      <c r="H48" s="12"/>
      <c r="I48" s="12"/>
      <c r="J48" s="12"/>
      <c r="K48" s="12"/>
      <c r="L48" s="12"/>
      <c r="M48" s="12"/>
      <c r="N48" s="11">
        <f>SUM(B48:M48)</f>
        <v>124</v>
      </c>
    </row>
    <row r="49" spans="1:14" x14ac:dyDescent="0.45">
      <c r="A49" s="17" t="s">
        <v>27</v>
      </c>
      <c r="B49" s="12">
        <v>14</v>
      </c>
      <c r="C49" s="12">
        <v>31</v>
      </c>
      <c r="D49" s="12">
        <v>63</v>
      </c>
      <c r="E49" s="12">
        <v>25</v>
      </c>
      <c r="F49" s="12">
        <v>15</v>
      </c>
      <c r="G49" s="12"/>
      <c r="H49" s="12"/>
      <c r="I49" s="12"/>
      <c r="J49" s="12"/>
      <c r="K49" s="12"/>
      <c r="L49" s="12"/>
      <c r="M49" s="12"/>
      <c r="N49" s="11">
        <f t="shared" ref="N49:N64" si="7">SUM(B49:M49)</f>
        <v>148</v>
      </c>
    </row>
    <row r="50" spans="1:14" x14ac:dyDescent="0.45">
      <c r="A50" s="16" t="s">
        <v>32</v>
      </c>
      <c r="B50" s="12">
        <v>29</v>
      </c>
      <c r="C50" s="12">
        <v>121</v>
      </c>
      <c r="D50" s="12">
        <v>183</v>
      </c>
      <c r="E50" s="12">
        <v>22</v>
      </c>
      <c r="F50" s="12">
        <v>15</v>
      </c>
      <c r="G50" s="12"/>
      <c r="H50" s="12"/>
      <c r="I50" s="12"/>
      <c r="J50" s="12"/>
      <c r="K50" s="12"/>
      <c r="L50" s="12"/>
      <c r="M50" s="12"/>
      <c r="N50" s="11">
        <f t="shared" si="7"/>
        <v>370</v>
      </c>
    </row>
    <row r="51" spans="1:14" x14ac:dyDescent="0.45">
      <c r="A51" s="17" t="s">
        <v>28</v>
      </c>
      <c r="B51" s="12">
        <v>29</v>
      </c>
      <c r="C51" s="12">
        <v>200</v>
      </c>
      <c r="D51" s="12">
        <v>170</v>
      </c>
      <c r="E51" s="12">
        <v>33</v>
      </c>
      <c r="F51" s="12">
        <v>10</v>
      </c>
      <c r="G51" s="12"/>
      <c r="H51" s="12"/>
      <c r="I51" s="12"/>
      <c r="J51" s="12"/>
      <c r="K51" s="12"/>
      <c r="L51" s="12"/>
      <c r="M51" s="12"/>
      <c r="N51" s="11">
        <f t="shared" si="7"/>
        <v>442</v>
      </c>
    </row>
    <row r="52" spans="1:14" x14ac:dyDescent="0.45">
      <c r="A52" s="16" t="s">
        <v>30</v>
      </c>
      <c r="B52" s="12">
        <v>24</v>
      </c>
      <c r="C52" s="12">
        <v>60</v>
      </c>
      <c r="D52" s="12">
        <v>95</v>
      </c>
      <c r="E52" s="12">
        <v>45</v>
      </c>
      <c r="F52" s="12">
        <v>14</v>
      </c>
      <c r="G52" s="12"/>
      <c r="H52" s="12"/>
      <c r="I52" s="12"/>
      <c r="J52" s="12"/>
      <c r="K52" s="12"/>
      <c r="L52" s="12"/>
      <c r="M52" s="12"/>
      <c r="N52" s="11">
        <f>SUM(B52:M52)</f>
        <v>238</v>
      </c>
    </row>
    <row r="53" spans="1:14" x14ac:dyDescent="0.45">
      <c r="A53" s="17" t="s">
        <v>33</v>
      </c>
      <c r="B53" s="12">
        <v>64</v>
      </c>
      <c r="C53" s="12">
        <v>83</v>
      </c>
      <c r="D53" s="12">
        <v>69</v>
      </c>
      <c r="E53" s="12">
        <v>46</v>
      </c>
      <c r="F53" s="12">
        <v>17</v>
      </c>
      <c r="G53" s="12"/>
      <c r="H53" s="12"/>
      <c r="I53" s="12"/>
      <c r="J53" s="12"/>
      <c r="K53" s="12"/>
      <c r="L53" s="12"/>
      <c r="M53" s="12"/>
      <c r="N53" s="11">
        <f t="shared" si="7"/>
        <v>279</v>
      </c>
    </row>
    <row r="54" spans="1:14" x14ac:dyDescent="0.45">
      <c r="A54" s="16" t="s">
        <v>34</v>
      </c>
      <c r="B54" s="12">
        <v>6</v>
      </c>
      <c r="C54" s="12">
        <v>92</v>
      </c>
      <c r="D54" s="12">
        <v>186</v>
      </c>
      <c r="E54" s="12">
        <v>49</v>
      </c>
      <c r="F54" s="12">
        <v>23</v>
      </c>
      <c r="G54" s="12"/>
      <c r="H54" s="12"/>
      <c r="I54" s="12"/>
      <c r="J54" s="12"/>
      <c r="K54" s="12"/>
      <c r="L54" s="12"/>
      <c r="M54" s="12"/>
      <c r="N54" s="11">
        <f t="shared" si="7"/>
        <v>356</v>
      </c>
    </row>
    <row r="55" spans="1:14" x14ac:dyDescent="0.45">
      <c r="A55" s="17" t="s">
        <v>31</v>
      </c>
      <c r="B55" s="12">
        <v>25</v>
      </c>
      <c r="C55" s="12">
        <v>61</v>
      </c>
      <c r="D55" s="12">
        <v>164</v>
      </c>
      <c r="E55" s="12">
        <v>75</v>
      </c>
      <c r="F55" s="12">
        <v>36</v>
      </c>
      <c r="G55" s="12"/>
      <c r="H55" s="12"/>
      <c r="I55" s="12"/>
      <c r="J55" s="12"/>
      <c r="K55" s="12"/>
      <c r="L55" s="12"/>
      <c r="M55" s="12"/>
      <c r="N55" s="11">
        <f t="shared" si="7"/>
        <v>361</v>
      </c>
    </row>
    <row r="56" spans="1:14" x14ac:dyDescent="0.45">
      <c r="A56" s="16" t="s">
        <v>35</v>
      </c>
      <c r="B56" s="12">
        <v>16</v>
      </c>
      <c r="C56" s="12">
        <v>51</v>
      </c>
      <c r="D56" s="12">
        <v>58</v>
      </c>
      <c r="E56" s="12">
        <v>19</v>
      </c>
      <c r="F56" s="12">
        <v>9</v>
      </c>
      <c r="G56" s="12"/>
      <c r="H56" s="12"/>
      <c r="I56" s="12"/>
      <c r="J56" s="12"/>
      <c r="K56" s="12"/>
      <c r="L56" s="12"/>
      <c r="M56" s="12"/>
      <c r="N56" s="11">
        <f t="shared" si="7"/>
        <v>153</v>
      </c>
    </row>
    <row r="57" spans="1:14" x14ac:dyDescent="0.45">
      <c r="A57" s="17" t="s">
        <v>39</v>
      </c>
      <c r="B57" s="12">
        <v>122</v>
      </c>
      <c r="C57" s="12">
        <v>364</v>
      </c>
      <c r="D57" s="12">
        <v>780</v>
      </c>
      <c r="E57" s="12">
        <v>315</v>
      </c>
      <c r="F57" s="12">
        <v>129</v>
      </c>
      <c r="G57" s="12"/>
      <c r="H57" s="12"/>
      <c r="I57" s="12"/>
      <c r="J57" s="12"/>
      <c r="K57" s="12"/>
      <c r="L57" s="12"/>
      <c r="M57" s="12"/>
      <c r="N57" s="11">
        <f t="shared" si="7"/>
        <v>1710</v>
      </c>
    </row>
    <row r="58" spans="1:14" x14ac:dyDescent="0.45">
      <c r="A58" s="16" t="s">
        <v>36</v>
      </c>
      <c r="B58" s="12">
        <v>38</v>
      </c>
      <c r="C58" s="12">
        <v>91</v>
      </c>
      <c r="D58" s="12">
        <v>147</v>
      </c>
      <c r="E58" s="12">
        <v>28</v>
      </c>
      <c r="F58" s="12">
        <v>47</v>
      </c>
      <c r="G58" s="12"/>
      <c r="H58" s="12"/>
      <c r="I58" s="12"/>
      <c r="J58" s="12"/>
      <c r="K58" s="12"/>
      <c r="L58" s="12"/>
      <c r="M58" s="12"/>
      <c r="N58" s="11">
        <f t="shared" si="7"/>
        <v>351</v>
      </c>
    </row>
    <row r="59" spans="1:14" x14ac:dyDescent="0.45">
      <c r="A59" s="17" t="s">
        <v>29</v>
      </c>
      <c r="B59" s="12">
        <v>16</v>
      </c>
      <c r="C59" s="12">
        <v>99</v>
      </c>
      <c r="D59" s="12">
        <v>86</v>
      </c>
      <c r="E59" s="12">
        <v>32</v>
      </c>
      <c r="F59" s="12">
        <v>13</v>
      </c>
      <c r="G59" s="12"/>
      <c r="H59" s="12"/>
      <c r="I59" s="12"/>
      <c r="J59" s="12"/>
      <c r="K59" s="12"/>
      <c r="L59" s="12"/>
      <c r="M59" s="12"/>
      <c r="N59" s="11">
        <f t="shared" si="7"/>
        <v>246</v>
      </c>
    </row>
    <row r="60" spans="1:14" x14ac:dyDescent="0.45">
      <c r="A60" s="16" t="s">
        <v>37</v>
      </c>
      <c r="B60" s="12">
        <v>9</v>
      </c>
      <c r="C60" s="12">
        <v>93</v>
      </c>
      <c r="D60" s="12">
        <v>101</v>
      </c>
      <c r="E60" s="12">
        <v>37</v>
      </c>
      <c r="F60" s="12">
        <v>16</v>
      </c>
      <c r="G60" s="12"/>
      <c r="H60" s="12"/>
      <c r="I60" s="12"/>
      <c r="J60" s="12"/>
      <c r="K60" s="12"/>
      <c r="L60" s="12"/>
      <c r="M60" s="12"/>
      <c r="N60" s="11">
        <f>SUM(B60:M60)</f>
        <v>256</v>
      </c>
    </row>
    <row r="61" spans="1:14" x14ac:dyDescent="0.45">
      <c r="A61" s="17" t="s">
        <v>43</v>
      </c>
      <c r="B61" s="12">
        <v>31</v>
      </c>
      <c r="C61" s="12">
        <v>87</v>
      </c>
      <c r="D61" s="12">
        <v>131</v>
      </c>
      <c r="E61" s="12">
        <v>40</v>
      </c>
      <c r="F61" s="12">
        <v>16</v>
      </c>
      <c r="G61" s="12"/>
      <c r="H61" s="12"/>
      <c r="I61" s="50"/>
      <c r="J61" s="12"/>
      <c r="K61" s="12"/>
      <c r="L61" s="12"/>
      <c r="M61" s="12"/>
      <c r="N61" s="11">
        <f t="shared" si="7"/>
        <v>305</v>
      </c>
    </row>
    <row r="62" spans="1:14" x14ac:dyDescent="0.45">
      <c r="A62" s="16" t="s">
        <v>44</v>
      </c>
      <c r="B62" s="12">
        <v>15</v>
      </c>
      <c r="C62" s="12">
        <v>61</v>
      </c>
      <c r="D62" s="12">
        <v>68</v>
      </c>
      <c r="E62" s="12">
        <v>38</v>
      </c>
      <c r="F62" s="12">
        <v>8</v>
      </c>
      <c r="G62" s="12"/>
      <c r="H62" s="12"/>
      <c r="I62" s="12"/>
      <c r="J62" s="12"/>
      <c r="K62" s="12"/>
      <c r="L62" s="12"/>
      <c r="M62" s="12"/>
      <c r="N62" s="11">
        <f t="shared" si="7"/>
        <v>190</v>
      </c>
    </row>
    <row r="63" spans="1:14" x14ac:dyDescent="0.45">
      <c r="A63" s="17" t="s">
        <v>42</v>
      </c>
      <c r="B63" s="12">
        <v>24</v>
      </c>
      <c r="C63" s="12">
        <v>42</v>
      </c>
      <c r="D63" s="12">
        <v>63</v>
      </c>
      <c r="E63" s="12">
        <v>47</v>
      </c>
      <c r="F63" s="12">
        <v>7</v>
      </c>
      <c r="G63" s="12"/>
      <c r="H63" s="12"/>
      <c r="I63" s="12"/>
      <c r="J63" s="12"/>
      <c r="K63" s="12"/>
      <c r="L63" s="12"/>
      <c r="M63" s="12"/>
      <c r="N63" s="11">
        <f t="shared" si="7"/>
        <v>183</v>
      </c>
    </row>
    <row r="64" spans="1:14" x14ac:dyDescent="0.45">
      <c r="A64" s="16" t="s">
        <v>38</v>
      </c>
      <c r="B64" s="12">
        <v>82</v>
      </c>
      <c r="C64" s="12">
        <v>231</v>
      </c>
      <c r="D64" s="12">
        <v>263</v>
      </c>
      <c r="E64" s="12">
        <v>89</v>
      </c>
      <c r="F64" s="12">
        <v>35</v>
      </c>
      <c r="G64" s="12"/>
      <c r="H64" s="12"/>
      <c r="I64" s="12"/>
      <c r="J64" s="12"/>
      <c r="K64" s="12"/>
      <c r="L64" s="12"/>
      <c r="M64" s="12"/>
      <c r="N64" s="11">
        <f t="shared" si="7"/>
        <v>700</v>
      </c>
    </row>
    <row r="65" spans="1:14" ht="16.899999999999999" x14ac:dyDescent="0.65">
      <c r="A65" s="8" t="s">
        <v>25</v>
      </c>
      <c r="B65" s="7">
        <f>SUM(B48:B64)</f>
        <v>560</v>
      </c>
      <c r="C65" s="7">
        <f>SUM(C48:C64)</f>
        <v>1807</v>
      </c>
      <c r="D65" s="7">
        <f t="shared" ref="D65:M65" si="8">SUM(D48:D64)</f>
        <v>2671</v>
      </c>
      <c r="E65" s="7">
        <f t="shared" si="8"/>
        <v>954</v>
      </c>
      <c r="F65" s="7">
        <f t="shared" si="8"/>
        <v>420</v>
      </c>
      <c r="G65" s="7">
        <f t="shared" si="8"/>
        <v>0</v>
      </c>
      <c r="H65" s="7">
        <f t="shared" si="8"/>
        <v>0</v>
      </c>
      <c r="I65" s="7">
        <f t="shared" si="8"/>
        <v>0</v>
      </c>
      <c r="J65" s="7">
        <f t="shared" si="8"/>
        <v>0</v>
      </c>
      <c r="K65" s="7">
        <f t="shared" si="8"/>
        <v>0</v>
      </c>
      <c r="L65" s="7">
        <f>SUM(L48:L64)</f>
        <v>0</v>
      </c>
      <c r="M65" s="7">
        <f t="shared" si="8"/>
        <v>0</v>
      </c>
      <c r="N65" s="9">
        <f>SUM(B65:M65)</f>
        <v>6412</v>
      </c>
    </row>
    <row r="67" spans="1:14" ht="16.899999999999999" x14ac:dyDescent="0.65">
      <c r="A67" s="3" t="s">
        <v>11</v>
      </c>
      <c r="B67" s="36" t="str">
        <f>+'Informe Gestión Mensual'!B10</f>
        <v xml:space="preserve">8,297 Empresas Turísticas asistidas en elaboración de Planes de Mejora.                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4"/>
    </row>
    <row r="68" spans="1:14" x14ac:dyDescent="0.45">
      <c r="A68" s="5"/>
      <c r="N68" s="6"/>
    </row>
    <row r="69" spans="1:14" x14ac:dyDescent="0.45">
      <c r="A69" s="7" t="s">
        <v>12</v>
      </c>
      <c r="B69" s="7" t="s">
        <v>13</v>
      </c>
      <c r="C69" s="7" t="s">
        <v>14</v>
      </c>
      <c r="D69" s="7" t="s">
        <v>15</v>
      </c>
      <c r="E69" s="7" t="s">
        <v>16</v>
      </c>
      <c r="F69" s="7" t="s">
        <v>17</v>
      </c>
      <c r="G69" s="7" t="s">
        <v>18</v>
      </c>
      <c r="H69" s="7" t="s">
        <v>19</v>
      </c>
      <c r="I69" s="7" t="s">
        <v>20</v>
      </c>
      <c r="J69" s="7" t="s">
        <v>21</v>
      </c>
      <c r="K69" s="7" t="s">
        <v>22</v>
      </c>
      <c r="L69" s="7" t="s">
        <v>23</v>
      </c>
      <c r="M69" s="7" t="s">
        <v>24</v>
      </c>
      <c r="N69" s="7" t="s">
        <v>25</v>
      </c>
    </row>
    <row r="70" spans="1:14" x14ac:dyDescent="0.45">
      <c r="A70" s="16" t="s">
        <v>26</v>
      </c>
      <c r="B70" s="12">
        <v>57</v>
      </c>
      <c r="C70" s="12">
        <v>68</v>
      </c>
      <c r="D70" s="12">
        <v>31</v>
      </c>
      <c r="E70" s="12">
        <v>0</v>
      </c>
      <c r="F70" s="12">
        <v>0</v>
      </c>
      <c r="G70" s="12"/>
      <c r="H70" s="12"/>
      <c r="I70" s="12"/>
      <c r="J70" s="12"/>
      <c r="K70" s="12"/>
      <c r="L70" s="12"/>
      <c r="M70" s="12"/>
      <c r="N70" s="11">
        <f>SUM(B70:M70)</f>
        <v>156</v>
      </c>
    </row>
    <row r="71" spans="1:14" x14ac:dyDescent="0.45">
      <c r="A71" s="17" t="s">
        <v>27</v>
      </c>
      <c r="B71" s="12">
        <v>67</v>
      </c>
      <c r="C71" s="12">
        <v>63</v>
      </c>
      <c r="D71" s="12">
        <v>77</v>
      </c>
      <c r="E71" s="12">
        <v>12</v>
      </c>
      <c r="F71" s="12">
        <v>0</v>
      </c>
      <c r="G71" s="12"/>
      <c r="H71" s="12"/>
      <c r="I71" s="12"/>
      <c r="J71" s="12"/>
      <c r="K71" s="12"/>
      <c r="L71" s="12"/>
      <c r="M71" s="12"/>
      <c r="N71" s="11">
        <f t="shared" ref="N71:N73" si="9">SUM(B71:M71)</f>
        <v>219</v>
      </c>
    </row>
    <row r="72" spans="1:14" x14ac:dyDescent="0.45">
      <c r="A72" s="16" t="s">
        <v>32</v>
      </c>
      <c r="B72" s="12">
        <v>146</v>
      </c>
      <c r="C72" s="12">
        <v>155</v>
      </c>
      <c r="D72" s="12">
        <v>152</v>
      </c>
      <c r="E72" s="12">
        <v>7</v>
      </c>
      <c r="F72" s="12">
        <v>5</v>
      </c>
      <c r="G72" s="12"/>
      <c r="H72" s="12"/>
      <c r="I72" s="12"/>
      <c r="J72" s="12"/>
      <c r="K72" s="12"/>
      <c r="L72" s="12"/>
      <c r="M72" s="12"/>
      <c r="N72" s="11">
        <f t="shared" si="9"/>
        <v>465</v>
      </c>
    </row>
    <row r="73" spans="1:14" x14ac:dyDescent="0.45">
      <c r="A73" s="17" t="s">
        <v>28</v>
      </c>
      <c r="B73" s="12">
        <v>205</v>
      </c>
      <c r="C73" s="12">
        <v>233</v>
      </c>
      <c r="D73" s="12">
        <v>61</v>
      </c>
      <c r="E73" s="12">
        <v>1</v>
      </c>
      <c r="F73" s="12">
        <v>5</v>
      </c>
      <c r="G73" s="12"/>
      <c r="H73" s="12"/>
      <c r="I73" s="12"/>
      <c r="J73" s="12"/>
      <c r="K73" s="12"/>
      <c r="L73" s="12"/>
      <c r="M73" s="12"/>
      <c r="N73" s="11">
        <f t="shared" si="9"/>
        <v>505</v>
      </c>
    </row>
    <row r="74" spans="1:14" x14ac:dyDescent="0.45">
      <c r="A74" s="16" t="s">
        <v>30</v>
      </c>
      <c r="B74" s="12">
        <v>95</v>
      </c>
      <c r="C74" s="12">
        <v>118</v>
      </c>
      <c r="D74" s="12">
        <v>125</v>
      </c>
      <c r="E74" s="12">
        <v>53</v>
      </c>
      <c r="F74" s="12">
        <v>29</v>
      </c>
      <c r="G74" s="12"/>
      <c r="H74" s="12"/>
      <c r="I74" s="12"/>
      <c r="J74" s="12"/>
      <c r="K74" s="12"/>
      <c r="L74" s="12"/>
      <c r="M74" s="12"/>
      <c r="N74" s="11">
        <f>SUM(B74:M74)</f>
        <v>420</v>
      </c>
    </row>
    <row r="75" spans="1:14" x14ac:dyDescent="0.45">
      <c r="A75" s="17" t="s">
        <v>33</v>
      </c>
      <c r="B75" s="12">
        <v>138</v>
      </c>
      <c r="C75" s="13">
        <v>103</v>
      </c>
      <c r="D75" s="12">
        <v>108</v>
      </c>
      <c r="E75" s="12">
        <v>4</v>
      </c>
      <c r="F75" s="12">
        <v>2</v>
      </c>
      <c r="G75" s="12"/>
      <c r="H75" s="12"/>
      <c r="I75" s="12"/>
      <c r="J75" s="12"/>
      <c r="K75" s="12"/>
      <c r="L75" s="12"/>
      <c r="M75" s="12"/>
      <c r="N75" s="11">
        <f t="shared" ref="N75:N81" si="10">SUM(B75:M75)</f>
        <v>355</v>
      </c>
    </row>
    <row r="76" spans="1:14" x14ac:dyDescent="0.45">
      <c r="A76" s="16" t="s">
        <v>34</v>
      </c>
      <c r="B76" s="12">
        <v>103</v>
      </c>
      <c r="C76" s="12">
        <v>186</v>
      </c>
      <c r="D76" s="12">
        <v>167</v>
      </c>
      <c r="E76" s="12">
        <v>2</v>
      </c>
      <c r="F76" s="12">
        <v>0</v>
      </c>
      <c r="G76" s="12"/>
      <c r="H76" s="12"/>
      <c r="I76" s="12"/>
      <c r="J76" s="12"/>
      <c r="K76" s="12"/>
      <c r="L76" s="50"/>
      <c r="M76" s="12"/>
      <c r="N76" s="11">
        <f t="shared" si="10"/>
        <v>458</v>
      </c>
    </row>
    <row r="77" spans="1:14" x14ac:dyDescent="0.45">
      <c r="A77" s="17" t="s">
        <v>31</v>
      </c>
      <c r="B77" s="12">
        <v>144</v>
      </c>
      <c r="C77" s="12">
        <v>151</v>
      </c>
      <c r="D77" s="12">
        <v>179</v>
      </c>
      <c r="E77" s="12">
        <v>7</v>
      </c>
      <c r="F77" s="12">
        <v>6</v>
      </c>
      <c r="G77" s="12"/>
      <c r="H77" s="12"/>
      <c r="I77" s="12"/>
      <c r="J77" s="12"/>
      <c r="K77" s="12"/>
      <c r="L77" s="12"/>
      <c r="M77" s="12"/>
      <c r="N77" s="11">
        <f t="shared" si="10"/>
        <v>487</v>
      </c>
    </row>
    <row r="78" spans="1:14" x14ac:dyDescent="0.45">
      <c r="A78" s="16" t="s">
        <v>35</v>
      </c>
      <c r="B78" s="12">
        <v>59</v>
      </c>
      <c r="C78" s="12">
        <v>65</v>
      </c>
      <c r="D78" s="12">
        <v>39</v>
      </c>
      <c r="E78" s="12">
        <v>1</v>
      </c>
      <c r="F78" s="12">
        <v>0</v>
      </c>
      <c r="G78" s="12"/>
      <c r="H78" s="12"/>
      <c r="I78" s="12"/>
      <c r="J78" s="12"/>
      <c r="K78" s="12"/>
      <c r="L78" s="12"/>
      <c r="M78" s="12"/>
      <c r="N78" s="11">
        <f t="shared" si="10"/>
        <v>164</v>
      </c>
    </row>
    <row r="79" spans="1:14" x14ac:dyDescent="0.45">
      <c r="A79" s="17" t="s">
        <v>39</v>
      </c>
      <c r="B79" s="12">
        <v>804</v>
      </c>
      <c r="C79" s="50">
        <v>772</v>
      </c>
      <c r="D79" s="12">
        <v>614</v>
      </c>
      <c r="E79" s="12">
        <v>233</v>
      </c>
      <c r="F79" s="12">
        <v>99</v>
      </c>
      <c r="G79" s="12"/>
      <c r="H79" s="12"/>
      <c r="I79" s="12"/>
      <c r="J79" s="12"/>
      <c r="K79" s="12"/>
      <c r="L79" s="12"/>
      <c r="M79" s="12"/>
      <c r="N79" s="11">
        <f t="shared" si="10"/>
        <v>2522</v>
      </c>
    </row>
    <row r="80" spans="1:14" x14ac:dyDescent="0.45">
      <c r="A80" s="16" t="s">
        <v>36</v>
      </c>
      <c r="B80" s="12">
        <v>157</v>
      </c>
      <c r="C80" s="12">
        <v>169</v>
      </c>
      <c r="D80" s="12">
        <v>92</v>
      </c>
      <c r="E80" s="12">
        <v>4</v>
      </c>
      <c r="F80" s="12">
        <v>2</v>
      </c>
      <c r="G80" s="12"/>
      <c r="H80" s="12"/>
      <c r="I80" s="12"/>
      <c r="J80" s="12"/>
      <c r="K80" s="12"/>
      <c r="L80" s="12"/>
      <c r="M80" s="12"/>
      <c r="N80" s="11">
        <f t="shared" si="10"/>
        <v>424</v>
      </c>
    </row>
    <row r="81" spans="1:14" x14ac:dyDescent="0.45">
      <c r="A81" s="17" t="s">
        <v>29</v>
      </c>
      <c r="B81" s="12">
        <v>57</v>
      </c>
      <c r="C81" s="12">
        <v>162</v>
      </c>
      <c r="D81" s="12">
        <v>89</v>
      </c>
      <c r="E81" s="12">
        <v>6</v>
      </c>
      <c r="F81" s="12">
        <v>1</v>
      </c>
      <c r="G81" s="12"/>
      <c r="H81" s="12"/>
      <c r="I81" s="12"/>
      <c r="J81" s="12"/>
      <c r="K81" s="12"/>
      <c r="L81" s="12"/>
      <c r="M81" s="12"/>
      <c r="N81" s="11">
        <f t="shared" si="10"/>
        <v>315</v>
      </c>
    </row>
    <row r="82" spans="1:14" x14ac:dyDescent="0.45">
      <c r="A82" s="16" t="s">
        <v>37</v>
      </c>
      <c r="B82" s="12">
        <v>134</v>
      </c>
      <c r="C82" s="12">
        <v>182</v>
      </c>
      <c r="D82" s="12">
        <v>17</v>
      </c>
      <c r="E82" s="12">
        <v>6</v>
      </c>
      <c r="F82" s="12">
        <v>6</v>
      </c>
      <c r="G82" s="12"/>
      <c r="H82" s="12"/>
      <c r="I82" s="12"/>
      <c r="J82" s="12"/>
      <c r="K82" s="12"/>
      <c r="L82" s="12"/>
      <c r="M82" s="12"/>
      <c r="N82" s="11">
        <f>SUM(B82:M82)</f>
        <v>345</v>
      </c>
    </row>
    <row r="83" spans="1:14" x14ac:dyDescent="0.45">
      <c r="A83" s="17" t="s">
        <v>43</v>
      </c>
      <c r="B83" s="12">
        <v>140</v>
      </c>
      <c r="C83" s="12">
        <v>169</v>
      </c>
      <c r="D83" s="12">
        <v>73</v>
      </c>
      <c r="E83" s="12">
        <v>5</v>
      </c>
      <c r="F83" s="12">
        <v>13</v>
      </c>
      <c r="G83" s="12"/>
      <c r="H83" s="12"/>
      <c r="I83" s="12"/>
      <c r="J83" s="12"/>
      <c r="K83" s="12"/>
      <c r="L83" s="12"/>
      <c r="M83" s="12"/>
      <c r="N83" s="11">
        <f t="shared" ref="N83:N86" si="11">SUM(B83:M83)</f>
        <v>400</v>
      </c>
    </row>
    <row r="84" spans="1:14" x14ac:dyDescent="0.45">
      <c r="A84" s="16" t="s">
        <v>44</v>
      </c>
      <c r="B84" s="12">
        <v>82</v>
      </c>
      <c r="C84" s="12">
        <v>155</v>
      </c>
      <c r="D84" s="12">
        <v>107</v>
      </c>
      <c r="E84" s="12">
        <v>6</v>
      </c>
      <c r="F84" s="12">
        <v>7</v>
      </c>
      <c r="G84" s="12"/>
      <c r="H84" s="12"/>
      <c r="I84" s="12"/>
      <c r="J84" s="12"/>
      <c r="K84" s="12"/>
      <c r="L84" s="12"/>
      <c r="M84" s="12"/>
      <c r="N84" s="11">
        <f t="shared" si="11"/>
        <v>357</v>
      </c>
    </row>
    <row r="85" spans="1:14" x14ac:dyDescent="0.45">
      <c r="A85" s="17" t="s">
        <v>42</v>
      </c>
      <c r="B85" s="12">
        <v>59</v>
      </c>
      <c r="C85" s="12">
        <v>83</v>
      </c>
      <c r="D85" s="12">
        <v>59</v>
      </c>
      <c r="E85" s="12">
        <v>16</v>
      </c>
      <c r="F85" s="12">
        <v>0</v>
      </c>
      <c r="G85" s="12"/>
      <c r="H85" s="12"/>
      <c r="I85" s="12"/>
      <c r="J85" s="12"/>
      <c r="K85" s="12"/>
      <c r="L85" s="12"/>
      <c r="M85" s="12"/>
      <c r="N85" s="11">
        <f t="shared" si="11"/>
        <v>217</v>
      </c>
    </row>
    <row r="86" spans="1:14" x14ac:dyDescent="0.45">
      <c r="A86" s="16" t="s">
        <v>38</v>
      </c>
      <c r="B86" s="12">
        <v>326</v>
      </c>
      <c r="C86" s="12">
        <v>309</v>
      </c>
      <c r="D86" s="12">
        <v>124</v>
      </c>
      <c r="E86" s="12">
        <v>17</v>
      </c>
      <c r="F86" s="12">
        <v>5</v>
      </c>
      <c r="G86" s="12"/>
      <c r="H86" s="12"/>
      <c r="I86" s="12"/>
      <c r="J86" s="12"/>
      <c r="K86" s="12"/>
      <c r="L86" s="12"/>
      <c r="M86" s="12"/>
      <c r="N86" s="11">
        <f t="shared" si="11"/>
        <v>781</v>
      </c>
    </row>
    <row r="87" spans="1:14" ht="16.899999999999999" x14ac:dyDescent="0.65">
      <c r="A87" s="8" t="s">
        <v>25</v>
      </c>
      <c r="B87" s="7">
        <f>SUM(B70:B86)</f>
        <v>2773</v>
      </c>
      <c r="C87" s="7">
        <f>SUM(C70:C86)</f>
        <v>3143</v>
      </c>
      <c r="D87" s="7">
        <f t="shared" ref="D87:K87" si="12">SUM(D70:D86)</f>
        <v>2114</v>
      </c>
      <c r="E87" s="7">
        <f t="shared" si="12"/>
        <v>380</v>
      </c>
      <c r="F87" s="7">
        <f t="shared" si="12"/>
        <v>180</v>
      </c>
      <c r="G87" s="7">
        <f t="shared" si="12"/>
        <v>0</v>
      </c>
      <c r="H87" s="7">
        <f t="shared" si="12"/>
        <v>0</v>
      </c>
      <c r="I87" s="7">
        <f t="shared" si="12"/>
        <v>0</v>
      </c>
      <c r="J87" s="7">
        <f t="shared" si="12"/>
        <v>0</v>
      </c>
      <c r="K87" s="7">
        <f t="shared" si="12"/>
        <v>0</v>
      </c>
      <c r="L87" s="7">
        <f>SUM(L70:L86)</f>
        <v>0</v>
      </c>
      <c r="M87" s="7">
        <f t="shared" ref="M87" si="13">SUM(M70:M86)</f>
        <v>0</v>
      </c>
      <c r="N87" s="9">
        <f>SUM(B87:M87)</f>
        <v>8590</v>
      </c>
    </row>
    <row r="89" spans="1:14" ht="16.899999999999999" x14ac:dyDescent="0.65">
      <c r="A89" s="3" t="s">
        <v>11</v>
      </c>
      <c r="B89" s="36" t="str">
        <f>+'Informe Gestión Mensual'!B11</f>
        <v>325 Empresas Turísticas que suben de categoría.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4"/>
    </row>
    <row r="90" spans="1:14" x14ac:dyDescent="0.45">
      <c r="A90" s="5"/>
      <c r="N90" s="6"/>
    </row>
    <row r="91" spans="1:14" x14ac:dyDescent="0.45">
      <c r="A91" s="7" t="s">
        <v>12</v>
      </c>
      <c r="B91" s="7" t="s">
        <v>13</v>
      </c>
      <c r="C91" s="7" t="s">
        <v>14</v>
      </c>
      <c r="D91" s="7" t="s">
        <v>15</v>
      </c>
      <c r="E91" s="7" t="s">
        <v>16</v>
      </c>
      <c r="F91" s="7" t="s">
        <v>17</v>
      </c>
      <c r="G91" s="7" t="s">
        <v>18</v>
      </c>
      <c r="H91" s="7" t="s">
        <v>19</v>
      </c>
      <c r="I91" s="7" t="s">
        <v>20</v>
      </c>
      <c r="J91" s="7" t="s">
        <v>21</v>
      </c>
      <c r="K91" s="7" t="s">
        <v>22</v>
      </c>
      <c r="L91" s="7" t="s">
        <v>23</v>
      </c>
      <c r="M91" s="7" t="s">
        <v>24</v>
      </c>
      <c r="N91" s="7" t="s">
        <v>25</v>
      </c>
    </row>
    <row r="92" spans="1:14" x14ac:dyDescent="0.45">
      <c r="A92" s="16" t="s">
        <v>26</v>
      </c>
      <c r="B92" s="12">
        <v>3</v>
      </c>
      <c r="C92" s="12">
        <v>3</v>
      </c>
      <c r="D92" s="12">
        <v>0</v>
      </c>
      <c r="E92" s="12">
        <v>0</v>
      </c>
      <c r="F92" s="12">
        <v>0</v>
      </c>
      <c r="G92" s="12"/>
      <c r="H92" s="12"/>
      <c r="I92" s="12"/>
      <c r="J92" s="12"/>
      <c r="K92" s="12"/>
      <c r="L92" s="12"/>
      <c r="M92" s="12"/>
      <c r="N92" s="11">
        <f>SUM(B92:M92)</f>
        <v>6</v>
      </c>
    </row>
    <row r="93" spans="1:14" x14ac:dyDescent="0.45">
      <c r="A93" s="17" t="s">
        <v>27</v>
      </c>
      <c r="B93" s="12">
        <v>3</v>
      </c>
      <c r="C93" s="12">
        <v>3</v>
      </c>
      <c r="D93" s="12">
        <v>6</v>
      </c>
      <c r="E93" s="12">
        <v>0</v>
      </c>
      <c r="F93" s="12">
        <v>0</v>
      </c>
      <c r="G93" s="12"/>
      <c r="H93" s="12"/>
      <c r="I93" s="12"/>
      <c r="J93" s="12"/>
      <c r="K93" s="12"/>
      <c r="L93" s="12"/>
      <c r="M93" s="12"/>
      <c r="N93" s="11">
        <f t="shared" ref="N93:N95" si="14">SUM(B93:M93)</f>
        <v>12</v>
      </c>
    </row>
    <row r="94" spans="1:14" x14ac:dyDescent="0.45">
      <c r="A94" s="16" t="s">
        <v>32</v>
      </c>
      <c r="B94" s="12">
        <v>13</v>
      </c>
      <c r="C94" s="12">
        <v>9</v>
      </c>
      <c r="D94" s="12">
        <v>13</v>
      </c>
      <c r="E94" s="12">
        <v>0</v>
      </c>
      <c r="F94" s="12">
        <v>0</v>
      </c>
      <c r="G94" s="12"/>
      <c r="H94" s="12"/>
      <c r="I94" s="12"/>
      <c r="J94" s="12"/>
      <c r="K94" s="12"/>
      <c r="L94" s="12"/>
      <c r="M94" s="12"/>
      <c r="N94" s="11">
        <f t="shared" si="14"/>
        <v>35</v>
      </c>
    </row>
    <row r="95" spans="1:14" x14ac:dyDescent="0.45">
      <c r="A95" s="17" t="s">
        <v>28</v>
      </c>
      <c r="B95" s="12">
        <v>10</v>
      </c>
      <c r="C95" s="12">
        <v>7</v>
      </c>
      <c r="D95" s="12">
        <v>2</v>
      </c>
      <c r="E95" s="12">
        <v>0</v>
      </c>
      <c r="F95" s="12">
        <v>0</v>
      </c>
      <c r="G95" s="12"/>
      <c r="H95" s="12"/>
      <c r="I95" s="12"/>
      <c r="J95" s="12"/>
      <c r="K95" s="12"/>
      <c r="L95" s="12"/>
      <c r="M95" s="12"/>
      <c r="N95" s="11">
        <f t="shared" si="14"/>
        <v>19</v>
      </c>
    </row>
    <row r="96" spans="1:14" x14ac:dyDescent="0.45">
      <c r="A96" s="16" t="s">
        <v>30</v>
      </c>
      <c r="B96" s="12">
        <v>6</v>
      </c>
      <c r="C96" s="12">
        <v>3</v>
      </c>
      <c r="D96" s="12">
        <v>10</v>
      </c>
      <c r="E96" s="12">
        <v>4</v>
      </c>
      <c r="F96" s="12">
        <v>0</v>
      </c>
      <c r="G96" s="12"/>
      <c r="H96" s="12"/>
      <c r="I96" s="12"/>
      <c r="J96" s="12"/>
      <c r="K96" s="12"/>
      <c r="L96" s="12"/>
      <c r="M96" s="12"/>
      <c r="N96" s="11">
        <f>SUM(B96:M96)</f>
        <v>23</v>
      </c>
    </row>
    <row r="97" spans="1:14" x14ac:dyDescent="0.45">
      <c r="A97" s="17" t="s">
        <v>33</v>
      </c>
      <c r="B97" s="12">
        <v>7</v>
      </c>
      <c r="C97" s="12">
        <v>2</v>
      </c>
      <c r="D97" s="12">
        <v>0</v>
      </c>
      <c r="E97" s="12">
        <v>0</v>
      </c>
      <c r="F97" s="12">
        <v>0</v>
      </c>
      <c r="G97" s="12"/>
      <c r="H97" s="12"/>
      <c r="I97" s="12"/>
      <c r="J97" s="12"/>
      <c r="K97" s="12"/>
      <c r="L97" s="12"/>
      <c r="M97" s="12"/>
      <c r="N97" s="11">
        <f t="shared" ref="N97:N103" si="15">SUM(B97:M97)</f>
        <v>9</v>
      </c>
    </row>
    <row r="98" spans="1:14" x14ac:dyDescent="0.45">
      <c r="A98" s="16" t="s">
        <v>34</v>
      </c>
      <c r="B98" s="12">
        <v>5</v>
      </c>
      <c r="C98" s="12">
        <v>18</v>
      </c>
      <c r="D98" s="12">
        <v>15</v>
      </c>
      <c r="E98" s="12">
        <v>0</v>
      </c>
      <c r="F98" s="12">
        <v>0</v>
      </c>
      <c r="G98" s="12"/>
      <c r="H98" s="12"/>
      <c r="I98" s="12"/>
      <c r="J98" s="12"/>
      <c r="K98" s="12"/>
      <c r="L98" s="12"/>
      <c r="M98" s="12"/>
      <c r="N98" s="11">
        <f t="shared" si="15"/>
        <v>38</v>
      </c>
    </row>
    <row r="99" spans="1:14" x14ac:dyDescent="0.45">
      <c r="A99" s="17" t="s">
        <v>31</v>
      </c>
      <c r="B99" s="12">
        <v>1</v>
      </c>
      <c r="C99" s="12">
        <v>3</v>
      </c>
      <c r="D99" s="12">
        <v>5</v>
      </c>
      <c r="E99" s="12">
        <v>1</v>
      </c>
      <c r="F99" s="12">
        <v>0</v>
      </c>
      <c r="G99" s="12"/>
      <c r="H99" s="12"/>
      <c r="I99" s="12"/>
      <c r="J99" s="12"/>
      <c r="K99" s="12"/>
      <c r="L99" s="12"/>
      <c r="M99" s="12"/>
      <c r="N99" s="11">
        <f t="shared" si="15"/>
        <v>10</v>
      </c>
    </row>
    <row r="100" spans="1:14" x14ac:dyDescent="0.45">
      <c r="A100" s="16" t="s">
        <v>35</v>
      </c>
      <c r="B100" s="12">
        <v>3</v>
      </c>
      <c r="C100" s="12">
        <v>1</v>
      </c>
      <c r="D100" s="12">
        <v>2</v>
      </c>
      <c r="E100" s="12">
        <v>0</v>
      </c>
      <c r="F100" s="12">
        <v>0</v>
      </c>
      <c r="G100" s="12"/>
      <c r="H100" s="12"/>
      <c r="I100" s="12"/>
      <c r="J100" s="12"/>
      <c r="K100" s="12"/>
      <c r="L100" s="12"/>
      <c r="M100" s="12"/>
      <c r="N100" s="11">
        <f t="shared" si="15"/>
        <v>6</v>
      </c>
    </row>
    <row r="101" spans="1:14" x14ac:dyDescent="0.45">
      <c r="A101" s="17" t="s">
        <v>39</v>
      </c>
      <c r="B101" s="12">
        <v>11</v>
      </c>
      <c r="C101" s="12">
        <v>13</v>
      </c>
      <c r="D101" s="12">
        <v>10</v>
      </c>
      <c r="E101" s="12">
        <v>5</v>
      </c>
      <c r="F101" s="12">
        <v>1</v>
      </c>
      <c r="G101" s="12"/>
      <c r="H101" s="12"/>
      <c r="I101" s="12"/>
      <c r="J101" s="12"/>
      <c r="K101" s="12"/>
      <c r="L101" s="12"/>
      <c r="M101" s="12"/>
      <c r="N101" s="11">
        <f t="shared" si="15"/>
        <v>40</v>
      </c>
    </row>
    <row r="102" spans="1:14" x14ac:dyDescent="0.45">
      <c r="A102" s="16" t="s">
        <v>36</v>
      </c>
      <c r="B102" s="12">
        <v>23</v>
      </c>
      <c r="C102" s="12">
        <v>16</v>
      </c>
      <c r="D102" s="12">
        <v>10</v>
      </c>
      <c r="E102" s="12">
        <v>0</v>
      </c>
      <c r="F102" s="12">
        <v>0</v>
      </c>
      <c r="G102" s="12"/>
      <c r="H102" s="12"/>
      <c r="I102" s="12"/>
      <c r="J102" s="12"/>
      <c r="K102" s="12"/>
      <c r="L102" s="12"/>
      <c r="M102" s="12"/>
      <c r="N102" s="11">
        <f t="shared" si="15"/>
        <v>49</v>
      </c>
    </row>
    <row r="103" spans="1:14" x14ac:dyDescent="0.45">
      <c r="A103" s="17" t="s">
        <v>29</v>
      </c>
      <c r="B103" s="12">
        <v>4</v>
      </c>
      <c r="C103" s="12">
        <v>4</v>
      </c>
      <c r="D103" s="12">
        <v>1</v>
      </c>
      <c r="E103" s="12">
        <v>0</v>
      </c>
      <c r="F103" s="12">
        <v>0</v>
      </c>
      <c r="G103" s="12"/>
      <c r="H103" s="12"/>
      <c r="I103" s="12"/>
      <c r="J103" s="12"/>
      <c r="K103" s="12"/>
      <c r="L103" s="12"/>
      <c r="M103" s="12"/>
      <c r="N103" s="11">
        <f t="shared" si="15"/>
        <v>9</v>
      </c>
    </row>
    <row r="104" spans="1:14" x14ac:dyDescent="0.45">
      <c r="A104" s="16" t="s">
        <v>37</v>
      </c>
      <c r="B104" s="12">
        <v>4</v>
      </c>
      <c r="C104" s="12">
        <v>4</v>
      </c>
      <c r="D104" s="12">
        <v>0</v>
      </c>
      <c r="E104" s="12">
        <v>0</v>
      </c>
      <c r="F104" s="12">
        <v>0</v>
      </c>
      <c r="G104" s="12"/>
      <c r="H104" s="12"/>
      <c r="I104" s="12"/>
      <c r="J104" s="12"/>
      <c r="K104" s="12"/>
      <c r="L104" s="12"/>
      <c r="M104" s="12"/>
      <c r="N104" s="11">
        <f>SUM(B104:M104)</f>
        <v>8</v>
      </c>
    </row>
    <row r="105" spans="1:14" x14ac:dyDescent="0.45">
      <c r="A105" s="17" t="s">
        <v>43</v>
      </c>
      <c r="B105" s="12">
        <v>11</v>
      </c>
      <c r="C105" s="12">
        <v>6</v>
      </c>
      <c r="D105" s="12">
        <v>1</v>
      </c>
      <c r="E105" s="12">
        <v>0</v>
      </c>
      <c r="F105" s="12">
        <v>0</v>
      </c>
      <c r="G105" s="12"/>
      <c r="H105" s="12"/>
      <c r="I105" s="12"/>
      <c r="J105" s="12"/>
      <c r="K105" s="12"/>
      <c r="L105" s="12"/>
      <c r="M105" s="12"/>
      <c r="N105" s="11">
        <f t="shared" ref="N105:N108" si="16">SUM(B105:M105)</f>
        <v>18</v>
      </c>
    </row>
    <row r="106" spans="1:14" x14ac:dyDescent="0.45">
      <c r="A106" s="16" t="s">
        <v>44</v>
      </c>
      <c r="B106" s="12">
        <v>6</v>
      </c>
      <c r="C106" s="12">
        <v>10</v>
      </c>
      <c r="D106" s="12">
        <v>3</v>
      </c>
      <c r="E106" s="12">
        <v>0</v>
      </c>
      <c r="F106" s="12">
        <v>0</v>
      </c>
      <c r="G106" s="12"/>
      <c r="H106" s="12"/>
      <c r="I106" s="12"/>
      <c r="J106" s="12"/>
      <c r="K106" s="12"/>
      <c r="L106" s="12"/>
      <c r="M106" s="12"/>
      <c r="N106" s="11">
        <f t="shared" si="16"/>
        <v>19</v>
      </c>
    </row>
    <row r="107" spans="1:14" x14ac:dyDescent="0.45">
      <c r="A107" s="17" t="s">
        <v>42</v>
      </c>
      <c r="B107" s="12">
        <v>3</v>
      </c>
      <c r="C107" s="12">
        <v>2</v>
      </c>
      <c r="D107" s="12">
        <v>1</v>
      </c>
      <c r="E107" s="12">
        <v>3</v>
      </c>
      <c r="F107" s="12">
        <v>0</v>
      </c>
      <c r="G107" s="12"/>
      <c r="H107" s="12"/>
      <c r="I107" s="12"/>
      <c r="J107" s="12"/>
      <c r="K107" s="12"/>
      <c r="L107" s="12"/>
      <c r="M107" s="12"/>
      <c r="N107" s="11">
        <f t="shared" si="16"/>
        <v>9</v>
      </c>
    </row>
    <row r="108" spans="1:14" ht="15.75" x14ac:dyDescent="0.45">
      <c r="A108" s="16" t="s">
        <v>38</v>
      </c>
      <c r="B108" s="12">
        <v>23</v>
      </c>
      <c r="C108" s="20">
        <v>24</v>
      </c>
      <c r="D108" s="12">
        <v>6</v>
      </c>
      <c r="E108" s="12">
        <v>0</v>
      </c>
      <c r="F108" s="12">
        <v>0</v>
      </c>
      <c r="G108" s="12"/>
      <c r="H108" s="12"/>
      <c r="I108" s="12"/>
      <c r="J108" s="12"/>
      <c r="K108" s="12"/>
      <c r="L108" s="12"/>
      <c r="M108" s="12"/>
      <c r="N108" s="11">
        <f t="shared" si="16"/>
        <v>53</v>
      </c>
    </row>
    <row r="109" spans="1:14" ht="16.899999999999999" x14ac:dyDescent="0.65">
      <c r="A109" s="8" t="s">
        <v>25</v>
      </c>
      <c r="B109" s="7">
        <f>SUM(B92:B108)</f>
        <v>136</v>
      </c>
      <c r="C109" s="7">
        <f>SUM(C92:C108)</f>
        <v>128</v>
      </c>
      <c r="D109" s="7">
        <f t="shared" ref="D109:K109" si="17">SUM(D92:D108)</f>
        <v>85</v>
      </c>
      <c r="E109" s="7">
        <f t="shared" si="17"/>
        <v>13</v>
      </c>
      <c r="F109" s="7">
        <f t="shared" si="17"/>
        <v>1</v>
      </c>
      <c r="G109" s="7">
        <f t="shared" si="17"/>
        <v>0</v>
      </c>
      <c r="H109" s="7">
        <f t="shared" si="17"/>
        <v>0</v>
      </c>
      <c r="I109" s="7">
        <f t="shared" si="17"/>
        <v>0</v>
      </c>
      <c r="J109" s="7">
        <f t="shared" si="17"/>
        <v>0</v>
      </c>
      <c r="K109" s="7">
        <f t="shared" si="17"/>
        <v>0</v>
      </c>
      <c r="L109" s="7">
        <f>SUM(L92:L108)</f>
        <v>0</v>
      </c>
      <c r="M109" s="7">
        <f t="shared" ref="M109" si="18">SUM(M92:M108)</f>
        <v>0</v>
      </c>
      <c r="N109" s="9">
        <f>SUM(B109:M109)</f>
        <v>363</v>
      </c>
    </row>
    <row r="111" spans="1:14" ht="16.899999999999999" x14ac:dyDescent="0.65">
      <c r="A111" s="3" t="s">
        <v>11</v>
      </c>
      <c r="B111" s="36" t="str">
        <f>+'Informe Gestión Mensual'!B12</f>
        <v xml:space="preserve">7,152 Códigos de Conducta suscritos entre empresas turísticas autorizadas e INTUR. 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4"/>
    </row>
    <row r="112" spans="1:14" x14ac:dyDescent="0.45">
      <c r="A112" s="5"/>
      <c r="N112" s="6"/>
    </row>
    <row r="113" spans="1:14" x14ac:dyDescent="0.45">
      <c r="A113" s="7" t="s">
        <v>12</v>
      </c>
      <c r="B113" s="7" t="s">
        <v>13</v>
      </c>
      <c r="C113" s="7" t="s">
        <v>14</v>
      </c>
      <c r="D113" s="7" t="s">
        <v>15</v>
      </c>
      <c r="E113" s="7" t="s">
        <v>16</v>
      </c>
      <c r="F113" s="7" t="s">
        <v>17</v>
      </c>
      <c r="G113" s="7" t="s">
        <v>18</v>
      </c>
      <c r="H113" s="7" t="s">
        <v>19</v>
      </c>
      <c r="I113" s="7" t="s">
        <v>20</v>
      </c>
      <c r="J113" s="7" t="s">
        <v>21</v>
      </c>
      <c r="K113" s="7" t="s">
        <v>22</v>
      </c>
      <c r="L113" s="7" t="s">
        <v>23</v>
      </c>
      <c r="M113" s="7" t="s">
        <v>24</v>
      </c>
      <c r="N113" s="7" t="s">
        <v>25</v>
      </c>
    </row>
    <row r="114" spans="1:14" x14ac:dyDescent="0.45">
      <c r="A114" s="16" t="s">
        <v>26</v>
      </c>
      <c r="B114" s="12">
        <v>16</v>
      </c>
      <c r="C114" s="12">
        <v>40</v>
      </c>
      <c r="D114" s="12">
        <v>44</v>
      </c>
      <c r="E114" s="12">
        <v>14</v>
      </c>
      <c r="F114" s="12">
        <v>10</v>
      </c>
      <c r="G114" s="12"/>
      <c r="H114" s="12"/>
      <c r="I114" s="12"/>
      <c r="J114" s="12"/>
      <c r="K114" s="12"/>
      <c r="L114" s="12"/>
      <c r="M114" s="12"/>
      <c r="N114" s="11">
        <f>SUM(B114:M114)</f>
        <v>124</v>
      </c>
    </row>
    <row r="115" spans="1:14" x14ac:dyDescent="0.45">
      <c r="A115" s="17" t="s">
        <v>27</v>
      </c>
      <c r="B115" s="12">
        <v>14</v>
      </c>
      <c r="C115" s="12">
        <v>31</v>
      </c>
      <c r="D115" s="12">
        <v>63</v>
      </c>
      <c r="E115" s="12">
        <v>25</v>
      </c>
      <c r="F115" s="12">
        <v>15</v>
      </c>
      <c r="G115" s="12"/>
      <c r="H115" s="12"/>
      <c r="I115" s="12"/>
      <c r="J115" s="12"/>
      <c r="K115" s="12"/>
      <c r="L115" s="12"/>
      <c r="M115" s="12"/>
      <c r="N115" s="11">
        <f t="shared" ref="N115:N117" si="19">SUM(B115:M115)</f>
        <v>148</v>
      </c>
    </row>
    <row r="116" spans="1:14" x14ac:dyDescent="0.45">
      <c r="A116" s="16" t="s">
        <v>32</v>
      </c>
      <c r="B116" s="12">
        <v>29</v>
      </c>
      <c r="C116" s="12">
        <v>121</v>
      </c>
      <c r="D116" s="12">
        <v>183</v>
      </c>
      <c r="E116" s="12">
        <v>22</v>
      </c>
      <c r="F116" s="12">
        <v>15</v>
      </c>
      <c r="G116" s="12"/>
      <c r="H116" s="12"/>
      <c r="I116" s="12"/>
      <c r="J116" s="12"/>
      <c r="K116" s="12"/>
      <c r="L116" s="12"/>
      <c r="M116" s="12"/>
      <c r="N116" s="11">
        <f t="shared" si="19"/>
        <v>370</v>
      </c>
    </row>
    <row r="117" spans="1:14" x14ac:dyDescent="0.45">
      <c r="A117" s="17" t="s">
        <v>28</v>
      </c>
      <c r="B117" s="12">
        <v>29</v>
      </c>
      <c r="C117" s="12">
        <v>200</v>
      </c>
      <c r="D117" s="12">
        <v>170</v>
      </c>
      <c r="E117" s="12">
        <v>33</v>
      </c>
      <c r="F117" s="12">
        <v>10</v>
      </c>
      <c r="G117" s="12"/>
      <c r="H117" s="12"/>
      <c r="I117" s="12"/>
      <c r="J117" s="12"/>
      <c r="K117" s="12"/>
      <c r="L117" s="12"/>
      <c r="M117" s="12"/>
      <c r="N117" s="11">
        <f t="shared" si="19"/>
        <v>442</v>
      </c>
    </row>
    <row r="118" spans="1:14" x14ac:dyDescent="0.45">
      <c r="A118" s="16" t="s">
        <v>30</v>
      </c>
      <c r="B118" s="12">
        <v>24</v>
      </c>
      <c r="C118" s="12">
        <v>60</v>
      </c>
      <c r="D118" s="12">
        <v>95</v>
      </c>
      <c r="E118" s="12">
        <v>45</v>
      </c>
      <c r="F118" s="12">
        <v>14</v>
      </c>
      <c r="G118" s="12"/>
      <c r="H118" s="12"/>
      <c r="I118" s="12"/>
      <c r="J118" s="12"/>
      <c r="K118" s="12"/>
      <c r="L118" s="12"/>
      <c r="M118" s="12"/>
      <c r="N118" s="11">
        <f>SUM(B118:M118)</f>
        <v>238</v>
      </c>
    </row>
    <row r="119" spans="1:14" x14ac:dyDescent="0.45">
      <c r="A119" s="17" t="s">
        <v>33</v>
      </c>
      <c r="B119" s="12">
        <v>64</v>
      </c>
      <c r="C119" s="12">
        <v>83</v>
      </c>
      <c r="D119" s="12">
        <v>69</v>
      </c>
      <c r="E119" s="12">
        <v>46</v>
      </c>
      <c r="F119" s="12">
        <v>17</v>
      </c>
      <c r="G119" s="12"/>
      <c r="H119" s="12"/>
      <c r="I119" s="12"/>
      <c r="J119" s="12"/>
      <c r="K119" s="12"/>
      <c r="L119" s="12"/>
      <c r="M119" s="12"/>
      <c r="N119" s="11">
        <f t="shared" ref="N119:N125" si="20">SUM(B119:M119)</f>
        <v>279</v>
      </c>
    </row>
    <row r="120" spans="1:14" x14ac:dyDescent="0.45">
      <c r="A120" s="16" t="s">
        <v>34</v>
      </c>
      <c r="B120" s="12">
        <v>6</v>
      </c>
      <c r="C120" s="12">
        <v>92</v>
      </c>
      <c r="D120" s="12">
        <v>186</v>
      </c>
      <c r="E120" s="12">
        <v>49</v>
      </c>
      <c r="F120" s="12">
        <v>23</v>
      </c>
      <c r="G120" s="12"/>
      <c r="H120" s="12"/>
      <c r="I120" s="12"/>
      <c r="J120" s="12"/>
      <c r="K120" s="12"/>
      <c r="L120" s="12"/>
      <c r="M120" s="12"/>
      <c r="N120" s="11">
        <f t="shared" si="20"/>
        <v>356</v>
      </c>
    </row>
    <row r="121" spans="1:14" x14ac:dyDescent="0.45">
      <c r="A121" s="17" t="s">
        <v>31</v>
      </c>
      <c r="B121" s="12">
        <v>25</v>
      </c>
      <c r="C121" s="12">
        <v>61</v>
      </c>
      <c r="D121" s="12">
        <v>164</v>
      </c>
      <c r="E121" s="12">
        <v>75</v>
      </c>
      <c r="F121" s="12">
        <v>36</v>
      </c>
      <c r="G121" s="12"/>
      <c r="H121" s="12"/>
      <c r="I121" s="12"/>
      <c r="J121" s="12"/>
      <c r="K121" s="12"/>
      <c r="L121" s="12"/>
      <c r="M121" s="12"/>
      <c r="N121" s="11">
        <f t="shared" si="20"/>
        <v>361</v>
      </c>
    </row>
    <row r="122" spans="1:14" x14ac:dyDescent="0.45">
      <c r="A122" s="16" t="s">
        <v>35</v>
      </c>
      <c r="B122" s="12">
        <v>16</v>
      </c>
      <c r="C122" s="12">
        <v>51</v>
      </c>
      <c r="D122" s="12">
        <v>58</v>
      </c>
      <c r="E122" s="12">
        <v>19</v>
      </c>
      <c r="F122" s="12">
        <v>9</v>
      </c>
      <c r="G122" s="12"/>
      <c r="H122" s="12"/>
      <c r="I122" s="12"/>
      <c r="J122" s="12"/>
      <c r="K122" s="12"/>
      <c r="L122" s="12"/>
      <c r="M122" s="12"/>
      <c r="N122" s="11">
        <f t="shared" si="20"/>
        <v>153</v>
      </c>
    </row>
    <row r="123" spans="1:14" x14ac:dyDescent="0.45">
      <c r="A123" s="17" t="s">
        <v>39</v>
      </c>
      <c r="B123" s="12">
        <v>122</v>
      </c>
      <c r="C123" s="12">
        <v>364</v>
      </c>
      <c r="D123" s="12">
        <v>780</v>
      </c>
      <c r="E123" s="12">
        <v>315</v>
      </c>
      <c r="F123" s="12">
        <v>129</v>
      </c>
      <c r="G123" s="12"/>
      <c r="H123" s="12"/>
      <c r="I123" s="12"/>
      <c r="J123" s="12"/>
      <c r="K123" s="12"/>
      <c r="L123" s="12"/>
      <c r="M123" s="12"/>
      <c r="N123" s="11">
        <f t="shared" si="20"/>
        <v>1710</v>
      </c>
    </row>
    <row r="124" spans="1:14" x14ac:dyDescent="0.45">
      <c r="A124" s="16" t="s">
        <v>36</v>
      </c>
      <c r="B124" s="12">
        <v>38</v>
      </c>
      <c r="C124" s="12">
        <v>91</v>
      </c>
      <c r="D124" s="12">
        <v>147</v>
      </c>
      <c r="E124" s="12">
        <v>28</v>
      </c>
      <c r="F124" s="12">
        <v>47</v>
      </c>
      <c r="G124" s="12"/>
      <c r="H124" s="12"/>
      <c r="I124" s="12"/>
      <c r="J124" s="12"/>
      <c r="K124" s="12"/>
      <c r="L124" s="12"/>
      <c r="M124" s="12"/>
      <c r="N124" s="11">
        <f t="shared" si="20"/>
        <v>351</v>
      </c>
    </row>
    <row r="125" spans="1:14" x14ac:dyDescent="0.45">
      <c r="A125" s="17" t="s">
        <v>29</v>
      </c>
      <c r="B125" s="12">
        <v>16</v>
      </c>
      <c r="C125" s="12">
        <v>99</v>
      </c>
      <c r="D125" s="12">
        <v>86</v>
      </c>
      <c r="E125" s="12">
        <v>32</v>
      </c>
      <c r="F125" s="12">
        <v>13</v>
      </c>
      <c r="G125" s="12"/>
      <c r="H125" s="12"/>
      <c r="I125" s="12"/>
      <c r="J125" s="12"/>
      <c r="K125" s="12"/>
      <c r="L125" s="12"/>
      <c r="M125" s="12"/>
      <c r="N125" s="11">
        <f t="shared" si="20"/>
        <v>246</v>
      </c>
    </row>
    <row r="126" spans="1:14" x14ac:dyDescent="0.45">
      <c r="A126" s="16" t="s">
        <v>37</v>
      </c>
      <c r="B126" s="12">
        <v>9</v>
      </c>
      <c r="C126" s="12">
        <v>93</v>
      </c>
      <c r="D126" s="12">
        <v>101</v>
      </c>
      <c r="E126" s="12">
        <v>37</v>
      </c>
      <c r="F126" s="12">
        <v>16</v>
      </c>
      <c r="G126" s="12"/>
      <c r="H126" s="12"/>
      <c r="I126" s="12"/>
      <c r="J126" s="12"/>
      <c r="K126" s="12"/>
      <c r="L126" s="12"/>
      <c r="M126" s="12"/>
      <c r="N126" s="11">
        <f>SUM(B126:M126)</f>
        <v>256</v>
      </c>
    </row>
    <row r="127" spans="1:14" x14ac:dyDescent="0.45">
      <c r="A127" s="17" t="s">
        <v>43</v>
      </c>
      <c r="B127" s="12">
        <v>31</v>
      </c>
      <c r="C127" s="12">
        <v>87</v>
      </c>
      <c r="D127" s="12">
        <v>131</v>
      </c>
      <c r="E127" s="12">
        <v>40</v>
      </c>
      <c r="F127" s="12">
        <v>16</v>
      </c>
      <c r="G127" s="12"/>
      <c r="H127" s="12"/>
      <c r="I127" s="50"/>
      <c r="J127" s="12"/>
      <c r="K127" s="12"/>
      <c r="L127" s="12"/>
      <c r="M127" s="12"/>
      <c r="N127" s="11">
        <f t="shared" ref="N127:N130" si="21">SUM(B127:M127)</f>
        <v>305</v>
      </c>
    </row>
    <row r="128" spans="1:14" x14ac:dyDescent="0.45">
      <c r="A128" s="16" t="s">
        <v>44</v>
      </c>
      <c r="B128" s="12">
        <v>15</v>
      </c>
      <c r="C128" s="12">
        <v>61</v>
      </c>
      <c r="D128" s="12">
        <v>68</v>
      </c>
      <c r="E128" s="12">
        <v>38</v>
      </c>
      <c r="F128" s="12">
        <v>8</v>
      </c>
      <c r="G128" s="12"/>
      <c r="H128" s="12"/>
      <c r="I128" s="12"/>
      <c r="J128" s="12"/>
      <c r="K128" s="12"/>
      <c r="L128" s="12"/>
      <c r="M128" s="12"/>
      <c r="N128" s="11">
        <f t="shared" si="21"/>
        <v>190</v>
      </c>
    </row>
    <row r="129" spans="1:14" x14ac:dyDescent="0.45">
      <c r="A129" s="17" t="s">
        <v>42</v>
      </c>
      <c r="B129" s="12">
        <v>24</v>
      </c>
      <c r="C129" s="12">
        <v>42</v>
      </c>
      <c r="D129" s="12">
        <v>63</v>
      </c>
      <c r="E129" s="12">
        <v>47</v>
      </c>
      <c r="F129" s="12">
        <v>7</v>
      </c>
      <c r="G129" s="12"/>
      <c r="H129" s="12"/>
      <c r="I129" s="12"/>
      <c r="J129" s="12"/>
      <c r="K129" s="12"/>
      <c r="L129" s="12"/>
      <c r="M129" s="12"/>
      <c r="N129" s="11">
        <f t="shared" si="21"/>
        <v>183</v>
      </c>
    </row>
    <row r="130" spans="1:14" x14ac:dyDescent="0.45">
      <c r="A130" s="16" t="s">
        <v>38</v>
      </c>
      <c r="B130" s="12">
        <v>82</v>
      </c>
      <c r="C130" s="12">
        <v>231</v>
      </c>
      <c r="D130" s="12">
        <v>263</v>
      </c>
      <c r="E130" s="12">
        <v>89</v>
      </c>
      <c r="F130" s="12">
        <v>35</v>
      </c>
      <c r="G130" s="12"/>
      <c r="H130" s="12"/>
      <c r="I130" s="12"/>
      <c r="J130" s="12"/>
      <c r="K130" s="12"/>
      <c r="L130" s="12"/>
      <c r="M130" s="12"/>
      <c r="N130" s="11">
        <f t="shared" si="21"/>
        <v>700</v>
      </c>
    </row>
    <row r="131" spans="1:14" ht="16.899999999999999" x14ac:dyDescent="0.65">
      <c r="A131" s="8" t="s">
        <v>25</v>
      </c>
      <c r="B131" s="7">
        <f>SUM(B114:B130)</f>
        <v>560</v>
      </c>
      <c r="C131" s="7">
        <f>SUM(C114:C130)</f>
        <v>1807</v>
      </c>
      <c r="D131" s="7">
        <f t="shared" ref="D131:K131" si="22">SUM(D114:D130)</f>
        <v>2671</v>
      </c>
      <c r="E131" s="7">
        <f t="shared" si="22"/>
        <v>954</v>
      </c>
      <c r="F131" s="7">
        <f t="shared" si="22"/>
        <v>420</v>
      </c>
      <c r="G131" s="7">
        <f t="shared" si="22"/>
        <v>0</v>
      </c>
      <c r="H131" s="7">
        <f t="shared" si="22"/>
        <v>0</v>
      </c>
      <c r="I131" s="7">
        <f t="shared" si="22"/>
        <v>0</v>
      </c>
      <c r="J131" s="7">
        <f t="shared" si="22"/>
        <v>0</v>
      </c>
      <c r="K131" s="7">
        <f t="shared" si="22"/>
        <v>0</v>
      </c>
      <c r="L131" s="7">
        <f>SUM(L114:L130)</f>
        <v>0</v>
      </c>
      <c r="M131" s="7">
        <f t="shared" ref="M131" si="23">SUM(M114:M130)</f>
        <v>0</v>
      </c>
      <c r="N131" s="9">
        <f>SUM(B131:M131)</f>
        <v>6412</v>
      </c>
    </row>
    <row r="133" spans="1:14" ht="16.899999999999999" x14ac:dyDescent="0.65">
      <c r="A133" s="3" t="s">
        <v>11</v>
      </c>
      <c r="B133" s="36" t="str">
        <f>+'Informe Gestión Mensual'!B15</f>
        <v>4,027 Empleos generados por las nuevas empresas turísticas que abren por primera vez.</v>
      </c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4"/>
    </row>
    <row r="134" spans="1:14" x14ac:dyDescent="0.45">
      <c r="A134" s="5"/>
      <c r="N134" s="6"/>
    </row>
    <row r="135" spans="1:14" x14ac:dyDescent="0.45">
      <c r="A135" s="7" t="s">
        <v>12</v>
      </c>
      <c r="B135" s="7" t="s">
        <v>13</v>
      </c>
      <c r="C135" s="7" t="s">
        <v>14</v>
      </c>
      <c r="D135" s="7" t="s">
        <v>15</v>
      </c>
      <c r="E135" s="7" t="s">
        <v>16</v>
      </c>
      <c r="F135" s="7" t="s">
        <v>17</v>
      </c>
      <c r="G135" s="7" t="s">
        <v>18</v>
      </c>
      <c r="H135" s="7" t="s">
        <v>19</v>
      </c>
      <c r="I135" s="7" t="s">
        <v>20</v>
      </c>
      <c r="J135" s="7" t="s">
        <v>21</v>
      </c>
      <c r="K135" s="7" t="s">
        <v>22</v>
      </c>
      <c r="L135" s="7" t="s">
        <v>23</v>
      </c>
      <c r="M135" s="7" t="s">
        <v>24</v>
      </c>
      <c r="N135" s="7" t="s">
        <v>25</v>
      </c>
    </row>
    <row r="136" spans="1:14" x14ac:dyDescent="0.45">
      <c r="A136" s="16" t="s">
        <v>26</v>
      </c>
      <c r="B136" s="12">
        <v>0</v>
      </c>
      <c r="C136" s="12">
        <v>49</v>
      </c>
      <c r="D136" s="12">
        <v>0</v>
      </c>
      <c r="E136" s="12">
        <v>0</v>
      </c>
      <c r="F136" s="12">
        <v>0</v>
      </c>
      <c r="G136" s="12"/>
      <c r="H136" s="12"/>
      <c r="I136" s="12"/>
      <c r="J136" s="12"/>
      <c r="K136" s="12"/>
      <c r="L136" s="12"/>
      <c r="M136" s="12"/>
      <c r="N136" s="11">
        <f>SUM(B136:M136)</f>
        <v>49</v>
      </c>
    </row>
    <row r="137" spans="1:14" x14ac:dyDescent="0.45">
      <c r="A137" s="17" t="s">
        <v>27</v>
      </c>
      <c r="B137" s="12">
        <v>47</v>
      </c>
      <c r="C137" s="12">
        <v>22</v>
      </c>
      <c r="D137" s="12">
        <v>0</v>
      </c>
      <c r="E137" s="12">
        <v>55</v>
      </c>
      <c r="F137" s="12">
        <v>0</v>
      </c>
      <c r="G137" s="12"/>
      <c r="H137" s="12"/>
      <c r="I137" s="12"/>
      <c r="J137" s="12"/>
      <c r="K137" s="12"/>
      <c r="L137" s="12"/>
      <c r="M137" s="12"/>
      <c r="N137" s="11">
        <f t="shared" ref="N137:N139" si="24">SUM(B137:M137)</f>
        <v>124</v>
      </c>
    </row>
    <row r="138" spans="1:14" x14ac:dyDescent="0.45">
      <c r="A138" s="16" t="s">
        <v>32</v>
      </c>
      <c r="B138" s="12">
        <v>88</v>
      </c>
      <c r="C138" s="12">
        <v>43</v>
      </c>
      <c r="D138" s="12">
        <v>108</v>
      </c>
      <c r="E138" s="12">
        <v>27</v>
      </c>
      <c r="F138" s="12">
        <v>37</v>
      </c>
      <c r="G138" s="12"/>
      <c r="H138" s="12"/>
      <c r="I138" s="12"/>
      <c r="J138" s="12"/>
      <c r="K138" s="12"/>
      <c r="L138" s="12"/>
      <c r="M138" s="12"/>
      <c r="N138" s="11">
        <f t="shared" si="24"/>
        <v>303</v>
      </c>
    </row>
    <row r="139" spans="1:14" x14ac:dyDescent="0.45">
      <c r="A139" s="17" t="s">
        <v>28</v>
      </c>
      <c r="B139" s="12">
        <v>75</v>
      </c>
      <c r="C139" s="12">
        <v>16</v>
      </c>
      <c r="D139" s="12">
        <v>23</v>
      </c>
      <c r="E139" s="12">
        <v>0</v>
      </c>
      <c r="F139" s="12">
        <v>31</v>
      </c>
      <c r="G139" s="12"/>
      <c r="H139" s="12"/>
      <c r="I139" s="12"/>
      <c r="J139" s="12"/>
      <c r="K139" s="12"/>
      <c r="L139" s="12"/>
      <c r="M139" s="12"/>
      <c r="N139" s="11">
        <f t="shared" si="24"/>
        <v>145</v>
      </c>
    </row>
    <row r="140" spans="1:14" x14ac:dyDescent="0.45">
      <c r="A140" s="16" t="s">
        <v>30</v>
      </c>
      <c r="B140" s="12">
        <v>26</v>
      </c>
      <c r="C140" s="12">
        <v>41</v>
      </c>
      <c r="D140" s="12">
        <v>25</v>
      </c>
      <c r="E140" s="12">
        <v>41</v>
      </c>
      <c r="F140" s="12">
        <v>61</v>
      </c>
      <c r="G140" s="12"/>
      <c r="H140" s="12"/>
      <c r="I140" s="50"/>
      <c r="J140" s="12"/>
      <c r="K140" s="12"/>
      <c r="L140" s="12"/>
      <c r="M140" s="12"/>
      <c r="N140" s="11">
        <f>SUM(B140:M140)</f>
        <v>194</v>
      </c>
    </row>
    <row r="141" spans="1:14" x14ac:dyDescent="0.45">
      <c r="A141" s="17" t="s">
        <v>33</v>
      </c>
      <c r="B141" s="12">
        <v>27</v>
      </c>
      <c r="C141" s="12">
        <v>30</v>
      </c>
      <c r="D141" s="12">
        <v>19</v>
      </c>
      <c r="E141" s="12">
        <v>26</v>
      </c>
      <c r="F141" s="12">
        <v>6</v>
      </c>
      <c r="G141" s="12"/>
      <c r="H141" s="12"/>
      <c r="I141" s="12"/>
      <c r="J141" s="12"/>
      <c r="K141" s="12"/>
      <c r="L141" s="12"/>
      <c r="M141" s="12"/>
      <c r="N141" s="11">
        <f t="shared" ref="N141:N147" si="25">SUM(B141:M141)</f>
        <v>108</v>
      </c>
    </row>
    <row r="142" spans="1:14" x14ac:dyDescent="0.45">
      <c r="A142" s="16" t="s">
        <v>34</v>
      </c>
      <c r="B142" s="12">
        <v>20</v>
      </c>
      <c r="C142" s="12">
        <v>83</v>
      </c>
      <c r="D142" s="12">
        <v>111</v>
      </c>
      <c r="E142" s="12">
        <v>8</v>
      </c>
      <c r="F142" s="12">
        <v>0</v>
      </c>
      <c r="G142" s="12"/>
      <c r="H142" s="12"/>
      <c r="I142" s="12"/>
      <c r="J142" s="12"/>
      <c r="K142" s="12"/>
      <c r="L142" s="12"/>
      <c r="M142" s="12"/>
      <c r="N142" s="11">
        <f t="shared" si="25"/>
        <v>222</v>
      </c>
    </row>
    <row r="143" spans="1:14" x14ac:dyDescent="0.45">
      <c r="A143" s="17" t="s">
        <v>31</v>
      </c>
      <c r="B143" s="12">
        <v>18</v>
      </c>
      <c r="C143" s="12">
        <v>45</v>
      </c>
      <c r="D143" s="12">
        <v>51</v>
      </c>
      <c r="E143" s="12">
        <v>36</v>
      </c>
      <c r="F143" s="12">
        <v>21</v>
      </c>
      <c r="G143" s="12"/>
      <c r="H143" s="12"/>
      <c r="I143" s="12"/>
      <c r="J143" s="12"/>
      <c r="K143" s="12"/>
      <c r="L143" s="12"/>
      <c r="M143" s="12"/>
      <c r="N143" s="11">
        <f t="shared" si="25"/>
        <v>171</v>
      </c>
    </row>
    <row r="144" spans="1:14" x14ac:dyDescent="0.45">
      <c r="A144" s="16" t="s">
        <v>35</v>
      </c>
      <c r="B144" s="12">
        <v>2</v>
      </c>
      <c r="C144" s="12">
        <v>17</v>
      </c>
      <c r="D144" s="12">
        <v>26</v>
      </c>
      <c r="E144" s="12">
        <v>6</v>
      </c>
      <c r="F144" s="12">
        <v>0</v>
      </c>
      <c r="G144" s="12"/>
      <c r="H144" s="12"/>
      <c r="I144" s="12"/>
      <c r="J144" s="12"/>
      <c r="K144" s="12"/>
      <c r="L144" s="12"/>
      <c r="M144" s="12"/>
      <c r="N144" s="11">
        <f t="shared" si="25"/>
        <v>51</v>
      </c>
    </row>
    <row r="145" spans="1:14" x14ac:dyDescent="0.45">
      <c r="A145" s="17" t="s">
        <v>39</v>
      </c>
      <c r="B145" s="12">
        <v>23</v>
      </c>
      <c r="C145" s="12">
        <v>78</v>
      </c>
      <c r="D145" s="12">
        <v>112</v>
      </c>
      <c r="E145" s="12">
        <v>140</v>
      </c>
      <c r="F145" s="12">
        <v>494</v>
      </c>
      <c r="G145" s="12"/>
      <c r="H145" s="12"/>
      <c r="I145" s="12"/>
      <c r="J145" s="12"/>
      <c r="K145" s="12"/>
      <c r="L145" s="12"/>
      <c r="M145" s="12"/>
      <c r="N145" s="11">
        <f t="shared" si="25"/>
        <v>847</v>
      </c>
    </row>
    <row r="146" spans="1:14" x14ac:dyDescent="0.45">
      <c r="A146" s="16" t="s">
        <v>36</v>
      </c>
      <c r="B146" s="12">
        <v>6</v>
      </c>
      <c r="C146" s="12">
        <v>126</v>
      </c>
      <c r="D146" s="12">
        <v>59</v>
      </c>
      <c r="E146" s="12">
        <v>24</v>
      </c>
      <c r="F146" s="12">
        <v>17</v>
      </c>
      <c r="G146" s="12"/>
      <c r="H146" s="12"/>
      <c r="I146" s="12"/>
      <c r="J146" s="12"/>
      <c r="K146" s="12"/>
      <c r="L146" s="12"/>
      <c r="M146" s="12"/>
      <c r="N146" s="11">
        <f t="shared" si="25"/>
        <v>232</v>
      </c>
    </row>
    <row r="147" spans="1:14" x14ac:dyDescent="0.45">
      <c r="A147" s="17" t="s">
        <v>29</v>
      </c>
      <c r="B147" s="12">
        <v>39</v>
      </c>
      <c r="C147" s="12">
        <v>29</v>
      </c>
      <c r="D147" s="12">
        <v>17</v>
      </c>
      <c r="E147" s="12">
        <v>52</v>
      </c>
      <c r="F147" s="12">
        <v>3</v>
      </c>
      <c r="G147" s="12"/>
      <c r="H147" s="12"/>
      <c r="I147" s="12"/>
      <c r="J147" s="12"/>
      <c r="K147" s="12"/>
      <c r="L147" s="12"/>
      <c r="M147" s="12"/>
      <c r="N147" s="11">
        <f t="shared" si="25"/>
        <v>140</v>
      </c>
    </row>
    <row r="148" spans="1:14" x14ac:dyDescent="0.45">
      <c r="A148" s="16" t="s">
        <v>37</v>
      </c>
      <c r="B148" s="12">
        <v>3</v>
      </c>
      <c r="C148" s="12">
        <v>30</v>
      </c>
      <c r="D148" s="12">
        <v>16</v>
      </c>
      <c r="E148" s="12">
        <v>21</v>
      </c>
      <c r="F148" s="12">
        <v>22</v>
      </c>
      <c r="G148" s="12"/>
      <c r="H148" s="12"/>
      <c r="I148" s="12"/>
      <c r="J148" s="12"/>
      <c r="K148" s="12"/>
      <c r="L148" s="12"/>
      <c r="M148" s="12"/>
      <c r="N148" s="11">
        <f>SUM(B148:M148)</f>
        <v>92</v>
      </c>
    </row>
    <row r="149" spans="1:14" x14ac:dyDescent="0.45">
      <c r="A149" s="17" t="s">
        <v>43</v>
      </c>
      <c r="B149" s="12">
        <v>10</v>
      </c>
      <c r="C149" s="12">
        <v>21</v>
      </c>
      <c r="D149" s="12">
        <v>35</v>
      </c>
      <c r="E149" s="12">
        <v>2</v>
      </c>
      <c r="F149" s="12">
        <v>46</v>
      </c>
      <c r="G149" s="12"/>
      <c r="H149" s="12"/>
      <c r="I149" s="12"/>
      <c r="J149" s="12"/>
      <c r="K149" s="12"/>
      <c r="L149" s="12"/>
      <c r="M149" s="12"/>
      <c r="N149" s="11">
        <f t="shared" ref="N149:N152" si="26">SUM(B149:M149)</f>
        <v>114</v>
      </c>
    </row>
    <row r="150" spans="1:14" x14ac:dyDescent="0.45">
      <c r="A150" s="16" t="s">
        <v>44</v>
      </c>
      <c r="B150" s="12">
        <v>30</v>
      </c>
      <c r="C150" s="12">
        <v>103</v>
      </c>
      <c r="D150" s="12">
        <v>23</v>
      </c>
      <c r="E150" s="12">
        <v>7</v>
      </c>
      <c r="F150" s="12">
        <v>49</v>
      </c>
      <c r="G150" s="12"/>
      <c r="H150" s="12"/>
      <c r="I150" s="12"/>
      <c r="J150" s="12"/>
      <c r="K150" s="12"/>
      <c r="L150" s="12"/>
      <c r="M150" s="12"/>
      <c r="N150" s="11">
        <f t="shared" si="26"/>
        <v>212</v>
      </c>
    </row>
    <row r="151" spans="1:14" x14ac:dyDescent="0.45">
      <c r="A151" s="17" t="s">
        <v>42</v>
      </c>
      <c r="B151" s="12">
        <v>28</v>
      </c>
      <c r="C151" s="12">
        <v>41</v>
      </c>
      <c r="D151" s="12">
        <v>32</v>
      </c>
      <c r="E151" s="12">
        <v>11</v>
      </c>
      <c r="F151" s="12">
        <v>0</v>
      </c>
      <c r="G151" s="12"/>
      <c r="H151" s="12"/>
      <c r="I151" s="12"/>
      <c r="J151" s="12"/>
      <c r="K151" s="12"/>
      <c r="L151" s="12"/>
      <c r="M151" s="12"/>
      <c r="N151" s="11">
        <f t="shared" si="26"/>
        <v>112</v>
      </c>
    </row>
    <row r="152" spans="1:14" x14ac:dyDescent="0.45">
      <c r="A152" s="16" t="s">
        <v>38</v>
      </c>
      <c r="B152" s="12">
        <v>19</v>
      </c>
      <c r="C152" s="12">
        <v>56</v>
      </c>
      <c r="D152" s="12">
        <v>129</v>
      </c>
      <c r="E152" s="12">
        <v>59</v>
      </c>
      <c r="F152" s="12">
        <v>17</v>
      </c>
      <c r="G152" s="12"/>
      <c r="H152" s="12"/>
      <c r="I152" s="12"/>
      <c r="J152" s="12"/>
      <c r="K152" s="12"/>
      <c r="L152" s="12"/>
      <c r="M152" s="12"/>
      <c r="N152" s="11">
        <f t="shared" si="26"/>
        <v>280</v>
      </c>
    </row>
    <row r="153" spans="1:14" ht="16.899999999999999" x14ac:dyDescent="0.65">
      <c r="A153" s="8" t="s">
        <v>25</v>
      </c>
      <c r="B153" s="7">
        <f>SUM(B136:B152)</f>
        <v>461</v>
      </c>
      <c r="C153" s="7">
        <f>SUM(C136:C152)</f>
        <v>830</v>
      </c>
      <c r="D153" s="7">
        <f t="shared" ref="D153:K153" si="27">SUM(D136:D152)</f>
        <v>786</v>
      </c>
      <c r="E153" s="7">
        <f t="shared" si="27"/>
        <v>515</v>
      </c>
      <c r="F153" s="7">
        <f t="shared" si="27"/>
        <v>804</v>
      </c>
      <c r="G153" s="7">
        <f t="shared" si="27"/>
        <v>0</v>
      </c>
      <c r="H153" s="7">
        <f t="shared" si="27"/>
        <v>0</v>
      </c>
      <c r="I153" s="7">
        <f t="shared" si="27"/>
        <v>0</v>
      </c>
      <c r="J153" s="7">
        <f t="shared" si="27"/>
        <v>0</v>
      </c>
      <c r="K153" s="7">
        <f t="shared" si="27"/>
        <v>0</v>
      </c>
      <c r="L153" s="7">
        <f>SUM(L136:L152)</f>
        <v>0</v>
      </c>
      <c r="M153" s="7">
        <f t="shared" ref="M153" si="28">SUM(M136:M152)</f>
        <v>0</v>
      </c>
      <c r="N153" s="9">
        <f>SUM(B153:M153)</f>
        <v>3396</v>
      </c>
    </row>
    <row r="155" spans="1:14" ht="16.899999999999999" x14ac:dyDescent="0.65">
      <c r="A155" s="3" t="s">
        <v>11</v>
      </c>
      <c r="B155" s="36" t="str">
        <f>+'Informe Gestión Mensual'!B14</f>
        <v>835 Empresas Turísticas abren negocio por primera vez</v>
      </c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4"/>
    </row>
    <row r="156" spans="1:14" x14ac:dyDescent="0.45">
      <c r="A156" s="5"/>
      <c r="N156" s="6"/>
    </row>
    <row r="157" spans="1:14" x14ac:dyDescent="0.45">
      <c r="A157" s="7" t="s">
        <v>12</v>
      </c>
      <c r="B157" s="7" t="s">
        <v>13</v>
      </c>
      <c r="C157" s="7" t="s">
        <v>14</v>
      </c>
      <c r="D157" s="7" t="s">
        <v>15</v>
      </c>
      <c r="E157" s="7" t="s">
        <v>16</v>
      </c>
      <c r="F157" s="7" t="s">
        <v>17</v>
      </c>
      <c r="G157" s="7" t="s">
        <v>18</v>
      </c>
      <c r="H157" s="7" t="s">
        <v>19</v>
      </c>
      <c r="I157" s="7" t="s">
        <v>20</v>
      </c>
      <c r="J157" s="7" t="s">
        <v>21</v>
      </c>
      <c r="K157" s="7" t="s">
        <v>22</v>
      </c>
      <c r="L157" s="7" t="s">
        <v>23</v>
      </c>
      <c r="M157" s="7" t="s">
        <v>24</v>
      </c>
      <c r="N157" s="7" t="s">
        <v>25</v>
      </c>
    </row>
    <row r="158" spans="1:14" x14ac:dyDescent="0.45">
      <c r="A158" s="16" t="s">
        <v>26</v>
      </c>
      <c r="B158" s="12">
        <v>0</v>
      </c>
      <c r="C158" s="12">
        <v>7</v>
      </c>
      <c r="D158" s="12">
        <v>0</v>
      </c>
      <c r="E158" s="12">
        <v>0</v>
      </c>
      <c r="F158" s="12">
        <v>0</v>
      </c>
      <c r="G158" s="12"/>
      <c r="H158" s="12"/>
      <c r="I158" s="12"/>
      <c r="J158" s="12"/>
      <c r="K158" s="12"/>
      <c r="L158" s="12"/>
      <c r="M158" s="12"/>
      <c r="N158" s="11">
        <f>SUM(B158:M158)</f>
        <v>7</v>
      </c>
    </row>
    <row r="159" spans="1:14" x14ac:dyDescent="0.45">
      <c r="A159" s="17" t="s">
        <v>27</v>
      </c>
      <c r="B159" s="12">
        <v>6</v>
      </c>
      <c r="C159" s="12">
        <v>6</v>
      </c>
      <c r="D159" s="12"/>
      <c r="E159" s="12">
        <v>7</v>
      </c>
      <c r="F159" s="12">
        <v>0</v>
      </c>
      <c r="G159" s="12"/>
      <c r="H159" s="12"/>
      <c r="I159" s="50"/>
      <c r="J159" s="12"/>
      <c r="K159" s="12"/>
      <c r="L159" s="12"/>
      <c r="M159" s="12"/>
      <c r="N159" s="11">
        <f t="shared" ref="N159:N161" si="29">SUM(B159:M159)</f>
        <v>19</v>
      </c>
    </row>
    <row r="160" spans="1:14" x14ac:dyDescent="0.45">
      <c r="A160" s="16" t="s">
        <v>32</v>
      </c>
      <c r="B160" s="12">
        <v>10</v>
      </c>
      <c r="C160" s="12">
        <v>6</v>
      </c>
      <c r="D160" s="12">
        <v>18</v>
      </c>
      <c r="E160" s="12">
        <v>5</v>
      </c>
      <c r="F160" s="12">
        <v>5</v>
      </c>
      <c r="G160" s="12"/>
      <c r="H160" s="12"/>
      <c r="I160" s="12"/>
      <c r="J160" s="12"/>
      <c r="K160" s="12"/>
      <c r="L160" s="12"/>
      <c r="M160" s="12"/>
      <c r="N160" s="11">
        <f t="shared" si="29"/>
        <v>44</v>
      </c>
    </row>
    <row r="161" spans="1:14" x14ac:dyDescent="0.45">
      <c r="A161" s="17" t="s">
        <v>28</v>
      </c>
      <c r="B161" s="12">
        <v>11</v>
      </c>
      <c r="C161" s="12">
        <v>5</v>
      </c>
      <c r="D161" s="12">
        <v>6</v>
      </c>
      <c r="E161" s="12">
        <v>0</v>
      </c>
      <c r="F161" s="12">
        <v>5</v>
      </c>
      <c r="G161" s="12"/>
      <c r="H161" s="12"/>
      <c r="I161" s="12"/>
      <c r="J161" s="12"/>
      <c r="K161" s="12"/>
      <c r="L161" s="12"/>
      <c r="M161" s="12"/>
      <c r="N161" s="11">
        <f t="shared" si="29"/>
        <v>27</v>
      </c>
    </row>
    <row r="162" spans="1:14" x14ac:dyDescent="0.45">
      <c r="A162" s="16" t="s">
        <v>30</v>
      </c>
      <c r="B162" s="12">
        <v>5</v>
      </c>
      <c r="C162" s="12">
        <v>4</v>
      </c>
      <c r="D162" s="12">
        <v>5</v>
      </c>
      <c r="E162" s="12">
        <v>8</v>
      </c>
      <c r="F162" s="12">
        <v>16</v>
      </c>
      <c r="G162" s="12"/>
      <c r="H162" s="12"/>
      <c r="I162" s="12"/>
      <c r="J162" s="12"/>
      <c r="K162" s="50"/>
      <c r="L162" s="12"/>
      <c r="M162" s="12"/>
      <c r="N162" s="11">
        <f>SUM(B162:M162)</f>
        <v>38</v>
      </c>
    </row>
    <row r="163" spans="1:14" x14ac:dyDescent="0.45">
      <c r="A163" s="17" t="s">
        <v>33</v>
      </c>
      <c r="B163" s="12">
        <v>5</v>
      </c>
      <c r="C163" s="12">
        <v>5</v>
      </c>
      <c r="D163" s="12">
        <v>2</v>
      </c>
      <c r="E163" s="12">
        <v>3</v>
      </c>
      <c r="F163" s="12">
        <v>1</v>
      </c>
      <c r="G163" s="12"/>
      <c r="H163" s="50"/>
      <c r="I163" s="12"/>
      <c r="J163" s="12"/>
      <c r="K163" s="12"/>
      <c r="L163" s="12"/>
      <c r="M163" s="12"/>
      <c r="N163" s="11">
        <f t="shared" ref="N163:N169" si="30">SUM(B163:M163)</f>
        <v>16</v>
      </c>
    </row>
    <row r="164" spans="1:14" x14ac:dyDescent="0.45">
      <c r="A164" s="16" t="s">
        <v>34</v>
      </c>
      <c r="B164" s="12">
        <v>5</v>
      </c>
      <c r="C164" s="12">
        <v>21</v>
      </c>
      <c r="D164" s="12">
        <v>30</v>
      </c>
      <c r="E164" s="12">
        <v>2</v>
      </c>
      <c r="F164" s="12">
        <v>0</v>
      </c>
      <c r="G164" s="12"/>
      <c r="H164" s="12"/>
      <c r="I164" s="12"/>
      <c r="J164" s="12"/>
      <c r="K164" s="12"/>
      <c r="L164" s="12"/>
      <c r="M164" s="12"/>
      <c r="N164" s="11">
        <f t="shared" si="30"/>
        <v>58</v>
      </c>
    </row>
    <row r="165" spans="1:14" x14ac:dyDescent="0.45">
      <c r="A165" s="17" t="s">
        <v>31</v>
      </c>
      <c r="B165" s="12">
        <v>4</v>
      </c>
      <c r="C165" s="12">
        <v>12</v>
      </c>
      <c r="D165" s="12">
        <v>9</v>
      </c>
      <c r="E165" s="12">
        <v>6</v>
      </c>
      <c r="F165" s="12">
        <v>4</v>
      </c>
      <c r="G165" s="12"/>
      <c r="H165" s="12"/>
      <c r="I165" s="12"/>
      <c r="J165" s="12"/>
      <c r="K165" s="12"/>
      <c r="L165" s="12"/>
      <c r="M165" s="12"/>
      <c r="N165" s="11">
        <f t="shared" si="30"/>
        <v>35</v>
      </c>
    </row>
    <row r="166" spans="1:14" x14ac:dyDescent="0.45">
      <c r="A166" s="16" t="s">
        <v>35</v>
      </c>
      <c r="B166" s="12">
        <v>2</v>
      </c>
      <c r="C166" s="12">
        <v>4</v>
      </c>
      <c r="D166" s="12">
        <v>5</v>
      </c>
      <c r="E166" s="12">
        <v>2</v>
      </c>
      <c r="F166" s="12">
        <v>0</v>
      </c>
      <c r="G166" s="12"/>
      <c r="H166" s="12"/>
      <c r="I166" s="12"/>
      <c r="J166" s="12"/>
      <c r="K166" s="12"/>
      <c r="L166" s="12"/>
      <c r="M166" s="12"/>
      <c r="N166" s="11">
        <f t="shared" si="30"/>
        <v>13</v>
      </c>
    </row>
    <row r="167" spans="1:14" x14ac:dyDescent="0.45">
      <c r="A167" s="17" t="s">
        <v>39</v>
      </c>
      <c r="B167" s="12">
        <v>10</v>
      </c>
      <c r="C167" s="12">
        <v>17</v>
      </c>
      <c r="D167" s="12">
        <v>25</v>
      </c>
      <c r="E167" s="66">
        <v>25</v>
      </c>
      <c r="F167" s="12">
        <v>80</v>
      </c>
      <c r="G167" s="12"/>
      <c r="H167" s="12"/>
      <c r="I167" s="12"/>
      <c r="J167" s="12"/>
      <c r="K167" s="12"/>
      <c r="L167" s="12"/>
      <c r="M167" s="12"/>
      <c r="N167" s="11">
        <f t="shared" si="30"/>
        <v>157</v>
      </c>
    </row>
    <row r="168" spans="1:14" x14ac:dyDescent="0.45">
      <c r="A168" s="16" t="s">
        <v>36</v>
      </c>
      <c r="B168" s="12">
        <v>3</v>
      </c>
      <c r="C168" s="12">
        <v>17</v>
      </c>
      <c r="D168" s="12">
        <v>10</v>
      </c>
      <c r="E168" s="12">
        <v>4</v>
      </c>
      <c r="F168" s="12">
        <v>2</v>
      </c>
      <c r="G168" s="12"/>
      <c r="H168" s="12"/>
      <c r="I168" s="12"/>
      <c r="J168" s="12"/>
      <c r="K168" s="50"/>
      <c r="L168" s="12"/>
      <c r="M168" s="12"/>
      <c r="N168" s="11">
        <f t="shared" si="30"/>
        <v>36</v>
      </c>
    </row>
    <row r="169" spans="1:14" x14ac:dyDescent="0.45">
      <c r="A169" s="17" t="s">
        <v>29</v>
      </c>
      <c r="B169" s="12">
        <v>2</v>
      </c>
      <c r="C169" s="12">
        <v>4</v>
      </c>
      <c r="D169" s="12">
        <v>3</v>
      </c>
      <c r="E169" s="12">
        <v>7</v>
      </c>
      <c r="F169" s="12">
        <v>1</v>
      </c>
      <c r="G169" s="50"/>
      <c r="H169" s="12"/>
      <c r="I169" s="12"/>
      <c r="J169" s="12"/>
      <c r="K169" s="12"/>
      <c r="L169" s="12"/>
      <c r="M169" s="12"/>
      <c r="N169" s="11">
        <f t="shared" si="30"/>
        <v>17</v>
      </c>
    </row>
    <row r="170" spans="1:14" x14ac:dyDescent="0.45">
      <c r="A170" s="16" t="s">
        <v>37</v>
      </c>
      <c r="B170" s="12">
        <v>1</v>
      </c>
      <c r="C170" s="12">
        <v>10</v>
      </c>
      <c r="D170" s="12">
        <v>5</v>
      </c>
      <c r="E170" s="12">
        <v>6</v>
      </c>
      <c r="F170" s="12">
        <v>6</v>
      </c>
      <c r="G170" s="12"/>
      <c r="H170" s="12"/>
      <c r="I170" s="12"/>
      <c r="J170" s="12"/>
      <c r="K170" s="12"/>
      <c r="L170" s="50"/>
      <c r="M170" s="12"/>
      <c r="N170" s="11">
        <f>SUM(B170:M170)</f>
        <v>28</v>
      </c>
    </row>
    <row r="171" spans="1:14" x14ac:dyDescent="0.45">
      <c r="A171" s="17" t="s">
        <v>43</v>
      </c>
      <c r="B171" s="12">
        <v>3</v>
      </c>
      <c r="C171" s="12">
        <v>7</v>
      </c>
      <c r="D171" s="12">
        <v>10</v>
      </c>
      <c r="E171" s="12">
        <v>1</v>
      </c>
      <c r="F171" s="50">
        <v>12</v>
      </c>
      <c r="G171" s="12"/>
      <c r="H171" s="12"/>
      <c r="I171" s="12"/>
      <c r="J171" s="12"/>
      <c r="K171" s="12"/>
      <c r="L171" s="12"/>
      <c r="M171" s="12"/>
      <c r="N171" s="11">
        <f t="shared" ref="N171:N174" si="31">SUM(B171:M171)</f>
        <v>33</v>
      </c>
    </row>
    <row r="172" spans="1:14" x14ac:dyDescent="0.45">
      <c r="A172" s="16" t="s">
        <v>44</v>
      </c>
      <c r="B172" s="12">
        <v>2</v>
      </c>
      <c r="C172" s="12">
        <v>24</v>
      </c>
      <c r="D172" s="12">
        <v>6</v>
      </c>
      <c r="E172" s="12">
        <v>1</v>
      </c>
      <c r="F172" s="12">
        <v>7</v>
      </c>
      <c r="G172" s="12"/>
      <c r="H172" s="12"/>
      <c r="I172" s="12"/>
      <c r="J172" s="12"/>
      <c r="K172" s="12"/>
      <c r="L172" s="12"/>
      <c r="M172" s="12"/>
      <c r="N172" s="11">
        <f t="shared" si="31"/>
        <v>40</v>
      </c>
    </row>
    <row r="173" spans="1:14" x14ac:dyDescent="0.45">
      <c r="A173" s="17" t="s">
        <v>42</v>
      </c>
      <c r="B173" s="12">
        <v>4</v>
      </c>
      <c r="C173" s="12">
        <v>9</v>
      </c>
      <c r="D173" s="12">
        <v>9</v>
      </c>
      <c r="E173" s="12">
        <v>3</v>
      </c>
      <c r="F173" s="12">
        <v>0</v>
      </c>
      <c r="G173" s="12"/>
      <c r="H173" s="12"/>
      <c r="I173" s="12"/>
      <c r="J173" s="12"/>
      <c r="K173" s="50"/>
      <c r="L173" s="12"/>
      <c r="M173" s="12"/>
      <c r="N173" s="11">
        <f t="shared" si="31"/>
        <v>25</v>
      </c>
    </row>
    <row r="174" spans="1:14" x14ac:dyDescent="0.45">
      <c r="A174" s="16" t="s">
        <v>38</v>
      </c>
      <c r="B174" s="12">
        <v>6</v>
      </c>
      <c r="C174" s="12">
        <v>18</v>
      </c>
      <c r="D174" s="12">
        <v>26</v>
      </c>
      <c r="E174" s="12">
        <v>14</v>
      </c>
      <c r="F174" s="12">
        <v>4</v>
      </c>
      <c r="G174" s="12"/>
      <c r="H174" s="12"/>
      <c r="I174" s="12"/>
      <c r="J174" s="12"/>
      <c r="K174" s="12"/>
      <c r="L174" s="12"/>
      <c r="M174" s="12"/>
      <c r="N174" s="11">
        <f t="shared" si="31"/>
        <v>68</v>
      </c>
    </row>
    <row r="175" spans="1:14" ht="16.899999999999999" x14ac:dyDescent="0.65">
      <c r="A175" s="8" t="s">
        <v>25</v>
      </c>
      <c r="B175" s="7">
        <f>SUM(B158:B174)</f>
        <v>79</v>
      </c>
      <c r="C175" s="7">
        <f>SUM(C158:C174)</f>
        <v>176</v>
      </c>
      <c r="D175" s="7">
        <f t="shared" ref="D175:K175" si="32">SUM(D158:D174)</f>
        <v>169</v>
      </c>
      <c r="E175" s="7">
        <f t="shared" si="32"/>
        <v>94</v>
      </c>
      <c r="F175" s="7">
        <f t="shared" si="32"/>
        <v>143</v>
      </c>
      <c r="G175" s="7">
        <f t="shared" si="32"/>
        <v>0</v>
      </c>
      <c r="H175" s="7">
        <f t="shared" si="32"/>
        <v>0</v>
      </c>
      <c r="I175" s="7">
        <f t="shared" si="32"/>
        <v>0</v>
      </c>
      <c r="J175" s="7">
        <f t="shared" si="32"/>
        <v>0</v>
      </c>
      <c r="K175" s="7">
        <f t="shared" si="32"/>
        <v>0</v>
      </c>
      <c r="L175" s="7">
        <f>SUM(L158:L174)</f>
        <v>0</v>
      </c>
      <c r="M175" s="7">
        <f t="shared" ref="M175" si="33">SUM(M158:M174)</f>
        <v>0</v>
      </c>
      <c r="N175" s="9">
        <f>SUM(B175:M175)</f>
        <v>661</v>
      </c>
    </row>
    <row r="177" spans="1:14" ht="16.899999999999999" x14ac:dyDescent="0.65">
      <c r="A177" s="3" t="s">
        <v>11</v>
      </c>
      <c r="B177" s="36" t="str">
        <f>+'Informe Gestión Mensual'!B16</f>
        <v xml:space="preserve">729 Nuevas habitaciones habilitadas por las empresas turísticas. </v>
      </c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4"/>
    </row>
    <row r="178" spans="1:14" x14ac:dyDescent="0.45">
      <c r="A178" s="5"/>
      <c r="N178" s="6"/>
    </row>
    <row r="179" spans="1:14" x14ac:dyDescent="0.45">
      <c r="A179" s="7" t="s">
        <v>12</v>
      </c>
      <c r="B179" s="7" t="s">
        <v>13</v>
      </c>
      <c r="C179" s="7" t="s">
        <v>14</v>
      </c>
      <c r="D179" s="7" t="s">
        <v>15</v>
      </c>
      <c r="E179" s="7" t="s">
        <v>16</v>
      </c>
      <c r="F179" s="7" t="s">
        <v>17</v>
      </c>
      <c r="G179" s="7" t="s">
        <v>18</v>
      </c>
      <c r="H179" s="7" t="s">
        <v>19</v>
      </c>
      <c r="I179" s="7" t="s">
        <v>20</v>
      </c>
      <c r="J179" s="7" t="s">
        <v>21</v>
      </c>
      <c r="K179" s="7" t="s">
        <v>22</v>
      </c>
      <c r="L179" s="7" t="s">
        <v>23</v>
      </c>
      <c r="M179" s="7" t="s">
        <v>24</v>
      </c>
      <c r="N179" s="7" t="s">
        <v>25</v>
      </c>
    </row>
    <row r="180" spans="1:14" x14ac:dyDescent="0.45">
      <c r="A180" s="16" t="s">
        <v>26</v>
      </c>
      <c r="B180" s="12">
        <v>0</v>
      </c>
      <c r="C180" s="12">
        <v>43</v>
      </c>
      <c r="D180" s="12">
        <v>0</v>
      </c>
      <c r="E180" s="12">
        <v>0</v>
      </c>
      <c r="F180" s="12">
        <v>0</v>
      </c>
      <c r="G180" s="12"/>
      <c r="H180" s="12"/>
      <c r="I180" s="12"/>
      <c r="J180" s="12"/>
      <c r="K180" s="12"/>
      <c r="L180" s="12"/>
      <c r="M180" s="12"/>
      <c r="N180" s="11">
        <f>SUM(B180:M180)</f>
        <v>43</v>
      </c>
    </row>
    <row r="181" spans="1:14" x14ac:dyDescent="0.45">
      <c r="A181" s="17" t="s">
        <v>27</v>
      </c>
      <c r="B181" s="12">
        <v>3</v>
      </c>
      <c r="C181" s="12">
        <v>0</v>
      </c>
      <c r="D181" s="12">
        <v>0</v>
      </c>
      <c r="E181" s="12">
        <v>0</v>
      </c>
      <c r="F181" s="12">
        <v>0</v>
      </c>
      <c r="G181" s="12"/>
      <c r="H181" s="12"/>
      <c r="I181" s="12"/>
      <c r="J181" s="12"/>
      <c r="K181" s="12"/>
      <c r="L181" s="12"/>
      <c r="M181" s="12"/>
      <c r="N181" s="11">
        <f t="shared" ref="N181:N183" si="34">SUM(B181:M181)</f>
        <v>3</v>
      </c>
    </row>
    <row r="182" spans="1:14" x14ac:dyDescent="0.45">
      <c r="A182" s="16" t="s">
        <v>32</v>
      </c>
      <c r="B182" s="12">
        <v>13</v>
      </c>
      <c r="C182" s="12">
        <v>4</v>
      </c>
      <c r="D182" s="12">
        <v>22</v>
      </c>
      <c r="E182" s="12">
        <v>3</v>
      </c>
      <c r="F182" s="12">
        <v>6</v>
      </c>
      <c r="G182" s="12"/>
      <c r="H182" s="12"/>
      <c r="I182" s="12"/>
      <c r="J182" s="12"/>
      <c r="K182" s="12"/>
      <c r="L182" s="12"/>
      <c r="M182" s="12"/>
      <c r="N182" s="11">
        <f t="shared" si="34"/>
        <v>48</v>
      </c>
    </row>
    <row r="183" spans="1:14" x14ac:dyDescent="0.45">
      <c r="A183" s="17" t="s">
        <v>28</v>
      </c>
      <c r="B183" s="12">
        <v>21</v>
      </c>
      <c r="C183" s="12">
        <v>64</v>
      </c>
      <c r="D183" s="12">
        <v>15</v>
      </c>
      <c r="E183" s="12">
        <v>0</v>
      </c>
      <c r="F183" s="12">
        <v>0</v>
      </c>
      <c r="G183" s="12"/>
      <c r="H183" s="12"/>
      <c r="I183" s="12"/>
      <c r="J183" s="12"/>
      <c r="K183" s="12"/>
      <c r="L183" s="12"/>
      <c r="M183" s="12"/>
      <c r="N183" s="11">
        <f t="shared" si="34"/>
        <v>100</v>
      </c>
    </row>
    <row r="184" spans="1:14" x14ac:dyDescent="0.45">
      <c r="A184" s="16" t="s">
        <v>30</v>
      </c>
      <c r="B184" s="12">
        <v>0</v>
      </c>
      <c r="C184" s="12">
        <v>18</v>
      </c>
      <c r="D184" s="12">
        <v>2</v>
      </c>
      <c r="E184" s="12">
        <v>2</v>
      </c>
      <c r="F184" s="12">
        <v>25</v>
      </c>
      <c r="G184" s="12"/>
      <c r="H184" s="12"/>
      <c r="I184" s="12"/>
      <c r="J184" s="12"/>
      <c r="K184" s="12"/>
      <c r="L184" s="12"/>
      <c r="M184" s="12"/>
      <c r="N184" s="11">
        <f>SUM(B184:M184)</f>
        <v>47</v>
      </c>
    </row>
    <row r="185" spans="1:14" x14ac:dyDescent="0.45">
      <c r="A185" s="17" t="s">
        <v>33</v>
      </c>
      <c r="B185" s="12">
        <v>13</v>
      </c>
      <c r="C185" s="12">
        <v>4</v>
      </c>
      <c r="D185" s="12">
        <v>1</v>
      </c>
      <c r="E185" s="12">
        <v>0</v>
      </c>
      <c r="F185" s="12">
        <v>0</v>
      </c>
      <c r="G185" s="12"/>
      <c r="H185" s="12"/>
      <c r="I185" s="12"/>
      <c r="J185" s="12"/>
      <c r="K185" s="12"/>
      <c r="L185" s="12"/>
      <c r="M185" s="12"/>
      <c r="N185" s="11">
        <f t="shared" ref="N185:N191" si="35">SUM(B185:M185)</f>
        <v>18</v>
      </c>
    </row>
    <row r="186" spans="1:14" x14ac:dyDescent="0.45">
      <c r="A186" s="16" t="s">
        <v>34</v>
      </c>
      <c r="B186" s="12">
        <v>28</v>
      </c>
      <c r="C186" s="12">
        <v>31</v>
      </c>
      <c r="D186" s="12">
        <v>31</v>
      </c>
      <c r="E186" s="12">
        <v>0</v>
      </c>
      <c r="F186" s="12">
        <v>0</v>
      </c>
      <c r="G186" s="12"/>
      <c r="H186" s="12"/>
      <c r="I186" s="12"/>
      <c r="J186" s="12"/>
      <c r="K186" s="12"/>
      <c r="L186" s="12"/>
      <c r="M186" s="12"/>
      <c r="N186" s="11">
        <f t="shared" si="35"/>
        <v>90</v>
      </c>
    </row>
    <row r="187" spans="1:14" x14ac:dyDescent="0.45">
      <c r="A187" s="17" t="s">
        <v>31</v>
      </c>
      <c r="B187" s="12">
        <v>18</v>
      </c>
      <c r="C187" s="12">
        <v>10</v>
      </c>
      <c r="D187" s="12">
        <v>18</v>
      </c>
      <c r="E187" s="12">
        <v>15</v>
      </c>
      <c r="F187" s="12">
        <v>0</v>
      </c>
      <c r="G187" s="12"/>
      <c r="H187" s="12"/>
      <c r="I187" s="12"/>
      <c r="J187" s="12"/>
      <c r="K187" s="12"/>
      <c r="L187" s="12"/>
      <c r="M187" s="12"/>
      <c r="N187" s="11">
        <f t="shared" si="35"/>
        <v>61</v>
      </c>
    </row>
    <row r="188" spans="1:14" x14ac:dyDescent="0.45">
      <c r="A188" s="16" t="s">
        <v>35</v>
      </c>
      <c r="B188" s="12">
        <v>6</v>
      </c>
      <c r="C188" s="12">
        <v>10</v>
      </c>
      <c r="D188" s="12">
        <v>0</v>
      </c>
      <c r="E188" s="12">
        <v>4</v>
      </c>
      <c r="F188" s="12">
        <v>0</v>
      </c>
      <c r="G188" s="12"/>
      <c r="H188" s="12"/>
      <c r="I188" s="12"/>
      <c r="J188" s="12"/>
      <c r="K188" s="12"/>
      <c r="L188" s="12"/>
      <c r="M188" s="12"/>
      <c r="N188" s="11">
        <f t="shared" si="35"/>
        <v>20</v>
      </c>
    </row>
    <row r="189" spans="1:14" x14ac:dyDescent="0.45">
      <c r="A189" s="17" t="s">
        <v>39</v>
      </c>
      <c r="B189" s="12">
        <v>11</v>
      </c>
      <c r="C189" s="12">
        <v>22</v>
      </c>
      <c r="D189" s="12">
        <v>26</v>
      </c>
      <c r="E189" s="12">
        <v>50</v>
      </c>
      <c r="F189" s="12">
        <v>26</v>
      </c>
      <c r="G189" s="12"/>
      <c r="H189" s="12"/>
      <c r="I189" s="12"/>
      <c r="J189" s="12"/>
      <c r="K189" s="12"/>
      <c r="L189" s="12"/>
      <c r="M189" s="12"/>
      <c r="N189" s="11">
        <f t="shared" si="35"/>
        <v>135</v>
      </c>
    </row>
    <row r="190" spans="1:14" x14ac:dyDescent="0.45">
      <c r="A190" s="16" t="s">
        <v>36</v>
      </c>
      <c r="B190" s="12">
        <v>1</v>
      </c>
      <c r="C190" s="12">
        <v>6</v>
      </c>
      <c r="D190" s="12">
        <v>2</v>
      </c>
      <c r="E190" s="12">
        <v>0</v>
      </c>
      <c r="F190" s="12">
        <v>3</v>
      </c>
      <c r="G190" s="12"/>
      <c r="H190" s="12"/>
      <c r="I190" s="12"/>
      <c r="J190" s="12"/>
      <c r="K190" s="12"/>
      <c r="L190" s="12"/>
      <c r="M190" s="12"/>
      <c r="N190" s="11">
        <f t="shared" si="35"/>
        <v>12</v>
      </c>
    </row>
    <row r="191" spans="1:14" x14ac:dyDescent="0.45">
      <c r="A191" s="17" t="s">
        <v>29</v>
      </c>
      <c r="B191" s="12">
        <v>6</v>
      </c>
      <c r="C191" s="12">
        <v>8</v>
      </c>
      <c r="D191" s="12">
        <v>4</v>
      </c>
      <c r="E191" s="12">
        <v>0</v>
      </c>
      <c r="F191" s="12">
        <v>0</v>
      </c>
      <c r="G191" s="12"/>
      <c r="H191" s="12"/>
      <c r="I191" s="12"/>
      <c r="J191" s="12"/>
      <c r="K191" s="12"/>
      <c r="L191" s="12"/>
      <c r="M191" s="12"/>
      <c r="N191" s="11">
        <f t="shared" si="35"/>
        <v>18</v>
      </c>
    </row>
    <row r="192" spans="1:14" x14ac:dyDescent="0.45">
      <c r="A192" s="16" t="s">
        <v>37</v>
      </c>
      <c r="B192" s="12">
        <v>35</v>
      </c>
      <c r="C192" s="12">
        <v>28</v>
      </c>
      <c r="D192" s="12">
        <v>3</v>
      </c>
      <c r="E192" s="12">
        <v>0</v>
      </c>
      <c r="F192" s="12">
        <v>20</v>
      </c>
      <c r="G192" s="12"/>
      <c r="H192" s="12"/>
      <c r="I192" s="12"/>
      <c r="J192" s="12"/>
      <c r="K192" s="12"/>
      <c r="L192" s="12"/>
      <c r="M192" s="12"/>
      <c r="N192" s="11">
        <f>SUM(B192:M192)</f>
        <v>86</v>
      </c>
    </row>
    <row r="193" spans="1:14" x14ac:dyDescent="0.45">
      <c r="A193" s="17" t="s">
        <v>43</v>
      </c>
      <c r="B193" s="12">
        <v>15</v>
      </c>
      <c r="C193" s="12">
        <v>8</v>
      </c>
      <c r="D193" s="12">
        <v>10</v>
      </c>
      <c r="E193" s="12">
        <v>0</v>
      </c>
      <c r="F193" s="12">
        <v>29</v>
      </c>
      <c r="G193" s="12"/>
      <c r="H193" s="12"/>
      <c r="I193" s="12"/>
      <c r="J193" s="12"/>
      <c r="K193" s="12"/>
      <c r="L193" s="12"/>
      <c r="M193" s="12"/>
      <c r="N193" s="11">
        <f t="shared" ref="N193:N196" si="36">SUM(B193:M193)</f>
        <v>62</v>
      </c>
    </row>
    <row r="194" spans="1:14" x14ac:dyDescent="0.45">
      <c r="A194" s="16" t="s">
        <v>44</v>
      </c>
      <c r="B194" s="12">
        <v>16</v>
      </c>
      <c r="C194" s="12">
        <v>28</v>
      </c>
      <c r="D194" s="12">
        <v>54</v>
      </c>
      <c r="E194" s="12">
        <v>5</v>
      </c>
      <c r="F194" s="12">
        <v>28</v>
      </c>
      <c r="G194" s="12"/>
      <c r="H194" s="12"/>
      <c r="I194" s="12"/>
      <c r="J194" s="12"/>
      <c r="K194" s="12"/>
      <c r="L194" s="12"/>
      <c r="M194" s="12"/>
      <c r="N194" s="11">
        <f t="shared" si="36"/>
        <v>131</v>
      </c>
    </row>
    <row r="195" spans="1:14" x14ac:dyDescent="0.45">
      <c r="A195" s="17" t="s">
        <v>42</v>
      </c>
      <c r="B195" s="12">
        <v>36</v>
      </c>
      <c r="C195" s="12">
        <v>25</v>
      </c>
      <c r="D195" s="12">
        <v>8</v>
      </c>
      <c r="E195" s="12">
        <v>5</v>
      </c>
      <c r="F195" s="12">
        <v>0</v>
      </c>
      <c r="G195" s="12"/>
      <c r="H195" s="12"/>
      <c r="I195" s="12"/>
      <c r="J195" s="12"/>
      <c r="K195" s="12"/>
      <c r="L195" s="12"/>
      <c r="M195" s="12"/>
      <c r="N195" s="11">
        <f t="shared" si="36"/>
        <v>74</v>
      </c>
    </row>
    <row r="196" spans="1:14" x14ac:dyDescent="0.45">
      <c r="A196" s="16" t="s">
        <v>38</v>
      </c>
      <c r="B196" s="12">
        <v>39</v>
      </c>
      <c r="C196" s="12">
        <v>20</v>
      </c>
      <c r="D196" s="12">
        <v>50</v>
      </c>
      <c r="E196" s="12">
        <v>8</v>
      </c>
      <c r="F196" s="12">
        <v>4</v>
      </c>
      <c r="G196" s="12"/>
      <c r="H196" s="12"/>
      <c r="I196" s="12"/>
      <c r="J196" s="12"/>
      <c r="K196" s="12"/>
      <c r="L196" s="12"/>
      <c r="M196" s="12"/>
      <c r="N196" s="11">
        <f t="shared" si="36"/>
        <v>121</v>
      </c>
    </row>
    <row r="197" spans="1:14" ht="16.899999999999999" x14ac:dyDescent="0.65">
      <c r="A197" s="8" t="s">
        <v>25</v>
      </c>
      <c r="B197" s="7">
        <f>SUM(B180:B196)</f>
        <v>261</v>
      </c>
      <c r="C197" s="7">
        <f>SUM(C180:C196)</f>
        <v>329</v>
      </c>
      <c r="D197" s="7">
        <f t="shared" ref="D197:K197" si="37">SUM(D180:D196)</f>
        <v>246</v>
      </c>
      <c r="E197" s="7">
        <f t="shared" si="37"/>
        <v>92</v>
      </c>
      <c r="F197" s="7">
        <f t="shared" si="37"/>
        <v>141</v>
      </c>
      <c r="G197" s="7">
        <f t="shared" si="37"/>
        <v>0</v>
      </c>
      <c r="H197" s="7">
        <f t="shared" si="37"/>
        <v>0</v>
      </c>
      <c r="I197" s="7">
        <f t="shared" si="37"/>
        <v>0</v>
      </c>
      <c r="J197" s="7">
        <f t="shared" si="37"/>
        <v>0</v>
      </c>
      <c r="K197" s="7">
        <f t="shared" si="37"/>
        <v>0</v>
      </c>
      <c r="L197" s="7">
        <f>SUM(L180:L196)</f>
        <v>0</v>
      </c>
      <c r="M197" s="7">
        <f t="shared" ref="M197" si="38">SUM(M180:M196)</f>
        <v>0</v>
      </c>
      <c r="N197" s="9">
        <f>SUM(B197:M197)</f>
        <v>1069</v>
      </c>
    </row>
    <row r="200" spans="1:14" ht="16.899999999999999" x14ac:dyDescent="0.65">
      <c r="A200" s="23" t="s">
        <v>11</v>
      </c>
      <c r="B200" s="19" t="s">
        <v>47</v>
      </c>
      <c r="C200" s="19"/>
      <c r="D200" s="19"/>
      <c r="E200" s="19"/>
      <c r="F200" s="19"/>
      <c r="G200" s="19"/>
      <c r="H200" s="19"/>
      <c r="I200" s="24"/>
      <c r="J200" s="3"/>
      <c r="K200" s="3"/>
      <c r="L200" s="3"/>
      <c r="M200" s="3"/>
      <c r="N200" s="4"/>
    </row>
    <row r="201" spans="1:14" x14ac:dyDescent="0.45">
      <c r="A201" s="5"/>
      <c r="N201" s="6"/>
    </row>
    <row r="202" spans="1:14" x14ac:dyDescent="0.45">
      <c r="A202" s="7" t="s">
        <v>12</v>
      </c>
      <c r="B202" s="7" t="s">
        <v>13</v>
      </c>
      <c r="C202" s="7" t="s">
        <v>14</v>
      </c>
      <c r="D202" s="7" t="s">
        <v>15</v>
      </c>
      <c r="E202" s="7" t="s">
        <v>16</v>
      </c>
      <c r="F202" s="7" t="s">
        <v>17</v>
      </c>
      <c r="G202" s="7" t="s">
        <v>18</v>
      </c>
      <c r="H202" s="7" t="s">
        <v>19</v>
      </c>
      <c r="I202" s="7" t="s">
        <v>20</v>
      </c>
      <c r="J202" s="7" t="s">
        <v>21</v>
      </c>
      <c r="K202" s="7" t="s">
        <v>22</v>
      </c>
      <c r="L202" s="7" t="s">
        <v>23</v>
      </c>
      <c r="M202" s="7" t="s">
        <v>24</v>
      </c>
      <c r="N202" s="7" t="s">
        <v>25</v>
      </c>
    </row>
    <row r="203" spans="1:14" ht="15.75" x14ac:dyDescent="0.5">
      <c r="A203" s="16" t="s">
        <v>26</v>
      </c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53"/>
      <c r="M203" s="53"/>
      <c r="N203" s="11">
        <f>SUM(B203:M203)</f>
        <v>0</v>
      </c>
    </row>
    <row r="204" spans="1:14" ht="15.75" x14ac:dyDescent="0.5">
      <c r="A204" s="17" t="s">
        <v>27</v>
      </c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53"/>
      <c r="M204" s="53"/>
      <c r="N204" s="11">
        <f t="shared" ref="N204:N206" si="39">SUM(B204:M204)</f>
        <v>0</v>
      </c>
    </row>
    <row r="205" spans="1:14" ht="15.75" x14ac:dyDescent="0.5">
      <c r="A205" s="16" t="s">
        <v>32</v>
      </c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53"/>
      <c r="M205" s="53"/>
      <c r="N205" s="11">
        <f t="shared" si="39"/>
        <v>0</v>
      </c>
    </row>
    <row r="206" spans="1:14" ht="15.75" x14ac:dyDescent="0.5">
      <c r="A206" s="17" t="s">
        <v>28</v>
      </c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53"/>
      <c r="M206" s="53"/>
      <c r="N206" s="11">
        <f t="shared" si="39"/>
        <v>0</v>
      </c>
    </row>
    <row r="207" spans="1:14" ht="15.75" x14ac:dyDescent="0.5">
      <c r="A207" s="16" t="s">
        <v>30</v>
      </c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53"/>
      <c r="M207" s="53"/>
      <c r="N207" s="11">
        <f>SUM(B207:M207)</f>
        <v>0</v>
      </c>
    </row>
    <row r="208" spans="1:14" ht="15.75" x14ac:dyDescent="0.5">
      <c r="A208" s="17" t="s">
        <v>33</v>
      </c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53"/>
      <c r="M208" s="53"/>
      <c r="N208" s="11">
        <f t="shared" ref="N208:N214" si="40">SUM(B208:M208)</f>
        <v>0</v>
      </c>
    </row>
    <row r="209" spans="1:14" ht="15.75" x14ac:dyDescent="0.5">
      <c r="A209" s="16" t="s">
        <v>34</v>
      </c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53"/>
      <c r="M209" s="53"/>
      <c r="N209" s="11">
        <f t="shared" si="40"/>
        <v>0</v>
      </c>
    </row>
    <row r="210" spans="1:14" ht="15.75" x14ac:dyDescent="0.5">
      <c r="A210" s="17" t="s">
        <v>31</v>
      </c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53"/>
      <c r="M210" s="53"/>
      <c r="N210" s="11">
        <f t="shared" si="40"/>
        <v>0</v>
      </c>
    </row>
    <row r="211" spans="1:14" ht="15.75" x14ac:dyDescent="0.5">
      <c r="A211" s="16" t="s">
        <v>35</v>
      </c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53"/>
      <c r="M211" s="53"/>
      <c r="N211" s="11">
        <f t="shared" si="40"/>
        <v>0</v>
      </c>
    </row>
    <row r="212" spans="1:14" ht="15.75" x14ac:dyDescent="0.5">
      <c r="A212" s="17" t="s">
        <v>39</v>
      </c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53"/>
      <c r="M212" s="53"/>
      <c r="N212" s="11">
        <f t="shared" si="40"/>
        <v>0</v>
      </c>
    </row>
    <row r="213" spans="1:14" ht="15.75" x14ac:dyDescent="0.5">
      <c r="A213" s="16" t="s">
        <v>36</v>
      </c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53"/>
      <c r="M213" s="53"/>
      <c r="N213" s="11">
        <f t="shared" si="40"/>
        <v>0</v>
      </c>
    </row>
    <row r="214" spans="1:14" ht="15.75" x14ac:dyDescent="0.5">
      <c r="A214" s="17" t="s">
        <v>29</v>
      </c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53"/>
      <c r="M214" s="53"/>
      <c r="N214" s="11">
        <f t="shared" si="40"/>
        <v>0</v>
      </c>
    </row>
    <row r="215" spans="1:14" ht="15.75" x14ac:dyDescent="0.5">
      <c r="A215" s="16" t="s">
        <v>37</v>
      </c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53"/>
      <c r="M215" s="53"/>
      <c r="N215" s="11">
        <f>SUM(B215:M215)</f>
        <v>0</v>
      </c>
    </row>
    <row r="216" spans="1:14" ht="15.75" x14ac:dyDescent="0.5">
      <c r="A216" s="17" t="s">
        <v>43</v>
      </c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53"/>
      <c r="M216" s="53"/>
      <c r="N216" s="11">
        <f t="shared" ref="N216:N219" si="41">SUM(B216:M216)</f>
        <v>0</v>
      </c>
    </row>
    <row r="217" spans="1:14" ht="15.75" x14ac:dyDescent="0.5">
      <c r="A217" s="16" t="s">
        <v>44</v>
      </c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53"/>
      <c r="M217" s="53"/>
      <c r="N217" s="11">
        <f t="shared" si="41"/>
        <v>0</v>
      </c>
    </row>
    <row r="218" spans="1:14" ht="15.75" x14ac:dyDescent="0.5">
      <c r="A218" s="17" t="s">
        <v>42</v>
      </c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54"/>
      <c r="M218" s="53"/>
      <c r="N218" s="11">
        <f t="shared" si="41"/>
        <v>0</v>
      </c>
    </row>
    <row r="219" spans="1:14" ht="15.75" x14ac:dyDescent="0.5">
      <c r="A219" s="16" t="s">
        <v>38</v>
      </c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53"/>
      <c r="M219" s="53"/>
      <c r="N219" s="11">
        <f t="shared" si="41"/>
        <v>0</v>
      </c>
    </row>
    <row r="220" spans="1:14" ht="16.899999999999999" x14ac:dyDescent="0.65">
      <c r="A220" s="8" t="s">
        <v>25</v>
      </c>
      <c r="B220" s="7">
        <f>SUM(B203:B219)</f>
        <v>0</v>
      </c>
      <c r="C220" s="7">
        <f>SUM(C203:C219)</f>
        <v>0</v>
      </c>
      <c r="D220" s="7">
        <f t="shared" ref="D220:K220" si="42">SUM(D203:D219)</f>
        <v>0</v>
      </c>
      <c r="E220" s="7">
        <f t="shared" si="42"/>
        <v>0</v>
      </c>
      <c r="F220" s="7">
        <f t="shared" si="42"/>
        <v>0</v>
      </c>
      <c r="G220" s="7">
        <f t="shared" si="42"/>
        <v>0</v>
      </c>
      <c r="H220" s="7">
        <f t="shared" si="42"/>
        <v>0</v>
      </c>
      <c r="I220" s="7">
        <f t="shared" si="42"/>
        <v>0</v>
      </c>
      <c r="J220" s="7">
        <f t="shared" si="42"/>
        <v>0</v>
      </c>
      <c r="K220" s="7">
        <f t="shared" si="42"/>
        <v>0</v>
      </c>
      <c r="L220" s="7">
        <f>SUM(L203:L219)</f>
        <v>0</v>
      </c>
      <c r="M220" s="7">
        <f t="shared" ref="M220" si="43">SUM(M203:M219)</f>
        <v>0</v>
      </c>
      <c r="N220" s="9">
        <f>SUM(B220:M220)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14549-DD23-4CB7-A599-5EBDD8854659}">
  <dimension ref="A1:H49"/>
  <sheetViews>
    <sheetView workbookViewId="0">
      <selection activeCell="B22" sqref="B22"/>
    </sheetView>
  </sheetViews>
  <sheetFormatPr baseColWidth="10" defaultRowHeight="14.25" x14ac:dyDescent="0.45"/>
  <cols>
    <col min="1" max="1" width="6.53125" style="13" customWidth="1"/>
    <col min="2" max="2" width="104.46484375" customWidth="1"/>
    <col min="3" max="3" width="14.86328125" style="13" customWidth="1"/>
    <col min="6" max="6" width="11.1328125" customWidth="1"/>
  </cols>
  <sheetData>
    <row r="1" spans="1:6" s="6" customFormat="1" ht="16.149999999999999" x14ac:dyDescent="0.55000000000000004">
      <c r="A1" s="118" t="s">
        <v>0</v>
      </c>
      <c r="B1" s="119" t="s">
        <v>50</v>
      </c>
      <c r="C1" s="118" t="s">
        <v>51</v>
      </c>
      <c r="D1" s="120" t="s">
        <v>52</v>
      </c>
      <c r="E1" s="120"/>
      <c r="F1" s="120"/>
    </row>
    <row r="2" spans="1:6" ht="16.149999999999999" x14ac:dyDescent="0.55000000000000004">
      <c r="A2" s="118"/>
      <c r="B2" s="119"/>
      <c r="C2" s="118"/>
      <c r="D2" s="62" t="s">
        <v>54</v>
      </c>
      <c r="E2" s="62" t="s">
        <v>53</v>
      </c>
      <c r="F2" s="62" t="s">
        <v>55</v>
      </c>
    </row>
    <row r="3" spans="1:6" ht="28.5" x14ac:dyDescent="0.45">
      <c r="A3" s="59">
        <v>1</v>
      </c>
      <c r="B3" s="97" t="s">
        <v>82</v>
      </c>
      <c r="C3" s="58">
        <v>46079</v>
      </c>
      <c r="D3" s="59">
        <v>13</v>
      </c>
      <c r="E3" s="59">
        <v>12</v>
      </c>
      <c r="F3" s="59">
        <f t="shared" ref="F3:F8" si="0">+D3+E3</f>
        <v>25</v>
      </c>
    </row>
    <row r="4" spans="1:6" ht="28.5" x14ac:dyDescent="0.45">
      <c r="A4" s="59">
        <v>2</v>
      </c>
      <c r="B4" s="97" t="s">
        <v>90</v>
      </c>
      <c r="C4" s="58">
        <v>46134</v>
      </c>
      <c r="D4" s="59">
        <v>4</v>
      </c>
      <c r="E4" s="59">
        <v>12</v>
      </c>
      <c r="F4" s="59">
        <f t="shared" si="0"/>
        <v>16</v>
      </c>
    </row>
    <row r="5" spans="1:6" ht="15.75" x14ac:dyDescent="0.45">
      <c r="A5" s="59"/>
      <c r="B5" s="77"/>
      <c r="C5" s="60"/>
      <c r="D5" s="59"/>
      <c r="E5" s="59"/>
      <c r="F5" s="59">
        <f t="shared" si="0"/>
        <v>0</v>
      </c>
    </row>
    <row r="6" spans="1:6" ht="19.5" customHeight="1" x14ac:dyDescent="0.45">
      <c r="A6" s="59"/>
      <c r="B6" s="77"/>
      <c r="C6" s="61"/>
      <c r="D6" s="57"/>
      <c r="E6" s="57"/>
      <c r="F6" s="57">
        <f t="shared" si="0"/>
        <v>0</v>
      </c>
    </row>
    <row r="7" spans="1:6" ht="15.75" x14ac:dyDescent="0.45">
      <c r="A7" s="59"/>
      <c r="B7" s="82"/>
      <c r="C7" s="60"/>
      <c r="D7" s="59"/>
      <c r="E7" s="59"/>
      <c r="F7" s="59">
        <f t="shared" si="0"/>
        <v>0</v>
      </c>
    </row>
    <row r="8" spans="1:6" ht="20.25" customHeight="1" thickBot="1" x14ac:dyDescent="0.5">
      <c r="A8" s="78"/>
      <c r="B8" s="94"/>
      <c r="C8" s="90"/>
      <c r="D8" s="78"/>
      <c r="E8" s="78"/>
      <c r="F8" s="78">
        <f t="shared" si="0"/>
        <v>0</v>
      </c>
    </row>
    <row r="9" spans="1:6" ht="16.5" thickBot="1" x14ac:dyDescent="0.6">
      <c r="A9" s="68"/>
      <c r="B9" s="95"/>
      <c r="C9" s="74"/>
      <c r="D9" s="75">
        <f>SUM(D3:D8)</f>
        <v>17</v>
      </c>
      <c r="E9" s="72">
        <f>SUM(E3:E8)</f>
        <v>24</v>
      </c>
      <c r="F9" s="73">
        <f>SUM(F3:F8)</f>
        <v>41</v>
      </c>
    </row>
    <row r="10" spans="1:6" ht="16.149999999999999" x14ac:dyDescent="0.55000000000000004">
      <c r="A10" s="85"/>
      <c r="B10" s="86"/>
      <c r="C10" s="85"/>
      <c r="D10" s="87"/>
      <c r="E10" s="87"/>
      <c r="F10" s="87"/>
    </row>
    <row r="11" spans="1:6" ht="16.149999999999999" x14ac:dyDescent="0.55000000000000004">
      <c r="A11" s="85"/>
      <c r="B11" s="86"/>
      <c r="C11" s="85"/>
      <c r="D11" s="87"/>
      <c r="E11" s="87"/>
      <c r="F11" s="87"/>
    </row>
    <row r="12" spans="1:6" ht="16.149999999999999" x14ac:dyDescent="0.55000000000000004">
      <c r="A12" s="85"/>
      <c r="B12" s="86"/>
      <c r="C12" s="85"/>
      <c r="D12" s="87"/>
      <c r="E12" s="87"/>
      <c r="F12" s="87"/>
    </row>
    <row r="16" spans="1:6" ht="16.149999999999999" x14ac:dyDescent="0.55000000000000004">
      <c r="A16" s="118" t="s">
        <v>0</v>
      </c>
      <c r="B16" s="119" t="s">
        <v>56</v>
      </c>
      <c r="C16" s="118" t="s">
        <v>51</v>
      </c>
      <c r="D16" s="120" t="s">
        <v>52</v>
      </c>
      <c r="E16" s="120"/>
      <c r="F16" s="120"/>
    </row>
    <row r="17" spans="1:8" ht="16.149999999999999" x14ac:dyDescent="0.55000000000000004">
      <c r="A17" s="118"/>
      <c r="B17" s="119"/>
      <c r="C17" s="118"/>
      <c r="D17" s="62" t="s">
        <v>54</v>
      </c>
      <c r="E17" s="62" t="s">
        <v>53</v>
      </c>
      <c r="F17" s="62" t="s">
        <v>55</v>
      </c>
    </row>
    <row r="18" spans="1:8" ht="36.75" customHeight="1" x14ac:dyDescent="0.45">
      <c r="A18" s="59">
        <v>1</v>
      </c>
      <c r="B18" s="93" t="s">
        <v>84</v>
      </c>
      <c r="C18" s="58">
        <v>46073</v>
      </c>
      <c r="D18" s="59">
        <v>21</v>
      </c>
      <c r="E18" s="59">
        <v>26</v>
      </c>
      <c r="F18" s="59">
        <f t="shared" ref="F18:F39" si="1">+D18+E18</f>
        <v>47</v>
      </c>
    </row>
    <row r="19" spans="1:8" ht="33.75" customHeight="1" x14ac:dyDescent="0.45">
      <c r="A19" s="59">
        <v>2</v>
      </c>
      <c r="B19" s="96" t="s">
        <v>83</v>
      </c>
      <c r="C19" s="58">
        <v>46080</v>
      </c>
      <c r="D19" s="59">
        <v>22</v>
      </c>
      <c r="E19" s="59">
        <v>19</v>
      </c>
      <c r="F19" s="59">
        <f t="shared" si="1"/>
        <v>41</v>
      </c>
    </row>
    <row r="20" spans="1:8" ht="30" customHeight="1" x14ac:dyDescent="0.45">
      <c r="A20" s="59">
        <v>3</v>
      </c>
      <c r="B20" s="93" t="s">
        <v>87</v>
      </c>
      <c r="C20" s="58">
        <v>46101</v>
      </c>
      <c r="D20" s="59">
        <v>14</v>
      </c>
      <c r="E20" s="59">
        <v>8</v>
      </c>
      <c r="F20" s="59">
        <f t="shared" si="1"/>
        <v>22</v>
      </c>
    </row>
    <row r="21" spans="1:8" ht="30" customHeight="1" x14ac:dyDescent="0.45">
      <c r="A21" s="59">
        <v>4</v>
      </c>
      <c r="B21" s="93" t="s">
        <v>97</v>
      </c>
      <c r="C21" s="58">
        <v>46129</v>
      </c>
      <c r="D21" s="59">
        <v>26</v>
      </c>
      <c r="E21" s="59">
        <v>22</v>
      </c>
      <c r="F21" s="59">
        <f>SUM(D21:E21)</f>
        <v>48</v>
      </c>
    </row>
    <row r="22" spans="1:8" ht="40.5" customHeight="1" x14ac:dyDescent="0.45">
      <c r="A22" s="59">
        <v>5</v>
      </c>
      <c r="B22" s="96" t="s">
        <v>91</v>
      </c>
      <c r="C22" s="58">
        <v>46136</v>
      </c>
      <c r="D22" s="59">
        <v>8</v>
      </c>
      <c r="E22" s="59">
        <v>16</v>
      </c>
      <c r="F22" s="59">
        <f t="shared" si="1"/>
        <v>24</v>
      </c>
    </row>
    <row r="23" spans="1:8" ht="31.5" customHeight="1" x14ac:dyDescent="0.45">
      <c r="A23" s="59">
        <v>6</v>
      </c>
      <c r="B23" s="93" t="s">
        <v>98</v>
      </c>
      <c r="C23" s="58">
        <v>46148</v>
      </c>
      <c r="D23" s="59">
        <v>21</v>
      </c>
      <c r="E23" s="59">
        <v>22</v>
      </c>
      <c r="F23" s="59">
        <f t="shared" si="1"/>
        <v>43</v>
      </c>
    </row>
    <row r="24" spans="1:8" ht="31.5" customHeight="1" x14ac:dyDescent="0.45">
      <c r="A24" s="59">
        <v>7</v>
      </c>
      <c r="B24" s="99" t="s">
        <v>99</v>
      </c>
      <c r="C24" s="58">
        <v>46158</v>
      </c>
      <c r="D24" s="59">
        <v>19</v>
      </c>
      <c r="E24" s="59">
        <v>12</v>
      </c>
      <c r="F24" s="59">
        <f t="shared" si="1"/>
        <v>31</v>
      </c>
    </row>
    <row r="25" spans="1:8" ht="31.5" customHeight="1" x14ac:dyDescent="0.45">
      <c r="A25" s="59">
        <v>8</v>
      </c>
      <c r="B25" s="93" t="s">
        <v>100</v>
      </c>
      <c r="C25" s="58">
        <v>46168</v>
      </c>
      <c r="D25" s="59">
        <v>4</v>
      </c>
      <c r="E25" s="59">
        <v>13</v>
      </c>
      <c r="F25" s="59">
        <f t="shared" si="1"/>
        <v>17</v>
      </c>
    </row>
    <row r="26" spans="1:8" ht="32.25" customHeight="1" x14ac:dyDescent="0.45">
      <c r="A26" s="59"/>
      <c r="B26" s="67"/>
      <c r="C26" s="58"/>
      <c r="D26" s="59"/>
      <c r="E26" s="59"/>
      <c r="F26" s="59">
        <f t="shared" si="1"/>
        <v>0</v>
      </c>
    </row>
    <row r="27" spans="1:8" ht="21.75" customHeight="1" x14ac:dyDescent="0.45">
      <c r="A27" s="59"/>
      <c r="B27" s="44"/>
      <c r="C27" s="58"/>
      <c r="D27" s="59"/>
      <c r="E27" s="59"/>
      <c r="F27" s="59">
        <f t="shared" si="1"/>
        <v>0</v>
      </c>
      <c r="H27" s="37"/>
    </row>
    <row r="28" spans="1:8" ht="20.25" customHeight="1" x14ac:dyDescent="0.45">
      <c r="A28" s="57"/>
      <c r="B28" s="45"/>
      <c r="C28" s="56"/>
      <c r="D28" s="57"/>
      <c r="E28" s="57"/>
      <c r="F28" s="57">
        <f t="shared" si="1"/>
        <v>0</v>
      </c>
      <c r="H28" s="37"/>
    </row>
    <row r="29" spans="1:8" ht="21" customHeight="1" x14ac:dyDescent="0.45">
      <c r="A29" s="59"/>
      <c r="B29" s="67"/>
      <c r="C29" s="58"/>
      <c r="D29" s="59"/>
      <c r="E29" s="59"/>
      <c r="F29" s="59">
        <f t="shared" si="1"/>
        <v>0</v>
      </c>
    </row>
    <row r="30" spans="1:8" ht="21" customHeight="1" x14ac:dyDescent="0.45">
      <c r="A30" s="59"/>
      <c r="B30" s="44"/>
      <c r="C30" s="58"/>
      <c r="D30" s="59"/>
      <c r="E30" s="59"/>
      <c r="F30" s="59">
        <f t="shared" si="1"/>
        <v>0</v>
      </c>
    </row>
    <row r="31" spans="1:8" ht="20.25" customHeight="1" x14ac:dyDescent="0.45">
      <c r="A31" s="59"/>
      <c r="B31" s="44"/>
      <c r="C31" s="58"/>
      <c r="D31" s="59"/>
      <c r="E31" s="59"/>
      <c r="F31" s="59">
        <f t="shared" si="1"/>
        <v>0</v>
      </c>
    </row>
    <row r="32" spans="1:8" ht="23.25" customHeight="1" x14ac:dyDescent="0.45">
      <c r="A32" s="59"/>
      <c r="B32" s="44"/>
      <c r="C32" s="58"/>
      <c r="D32" s="59"/>
      <c r="E32" s="59"/>
      <c r="F32" s="59">
        <f t="shared" si="1"/>
        <v>0</v>
      </c>
    </row>
    <row r="33" spans="1:6" ht="20.25" customHeight="1" x14ac:dyDescent="0.45">
      <c r="A33" s="59"/>
      <c r="B33" s="67"/>
      <c r="C33" s="58"/>
      <c r="D33" s="59"/>
      <c r="E33" s="59"/>
      <c r="F33" s="59">
        <f t="shared" si="1"/>
        <v>0</v>
      </c>
    </row>
    <row r="34" spans="1:6" ht="24" customHeight="1" x14ac:dyDescent="0.45">
      <c r="A34" s="59"/>
      <c r="B34" s="44"/>
      <c r="C34" s="58"/>
      <c r="D34" s="59"/>
      <c r="E34" s="59"/>
      <c r="F34" s="59">
        <f t="shared" si="1"/>
        <v>0</v>
      </c>
    </row>
    <row r="35" spans="1:6" ht="21.75" customHeight="1" x14ac:dyDescent="0.45">
      <c r="A35" s="59"/>
      <c r="B35" s="67"/>
      <c r="C35" s="58"/>
      <c r="D35" s="59"/>
      <c r="E35" s="59"/>
      <c r="F35" s="59">
        <f t="shared" si="1"/>
        <v>0</v>
      </c>
    </row>
    <row r="36" spans="1:6" ht="22.5" customHeight="1" x14ac:dyDescent="0.45">
      <c r="A36" s="78"/>
      <c r="B36" s="80"/>
      <c r="C36" s="58"/>
      <c r="D36" s="59"/>
      <c r="E36" s="59"/>
      <c r="F36" s="59">
        <f t="shared" si="1"/>
        <v>0</v>
      </c>
    </row>
    <row r="37" spans="1:6" ht="23.25" customHeight="1" x14ac:dyDescent="0.45">
      <c r="A37" s="59"/>
      <c r="B37" s="81"/>
      <c r="C37" s="58"/>
      <c r="D37" s="59"/>
      <c r="E37" s="59"/>
      <c r="F37" s="59">
        <f t="shared" si="1"/>
        <v>0</v>
      </c>
    </row>
    <row r="38" spans="1:6" ht="20.25" customHeight="1" x14ac:dyDescent="0.45">
      <c r="A38" s="83"/>
      <c r="B38" s="80"/>
      <c r="C38" s="79"/>
      <c r="D38" s="78"/>
      <c r="E38" s="78"/>
      <c r="F38" s="78">
        <f t="shared" si="1"/>
        <v>0</v>
      </c>
    </row>
    <row r="39" spans="1:6" ht="21" customHeight="1" x14ac:dyDescent="0.45">
      <c r="A39" s="59"/>
      <c r="B39" s="81"/>
      <c r="C39" s="58"/>
      <c r="D39" s="59"/>
      <c r="E39" s="59"/>
      <c r="F39" s="59">
        <f t="shared" si="1"/>
        <v>0</v>
      </c>
    </row>
    <row r="40" spans="1:6" ht="18.75" customHeight="1" x14ac:dyDescent="0.45">
      <c r="A40" s="59"/>
      <c r="B40" s="84"/>
      <c r="C40" s="58"/>
      <c r="D40" s="59"/>
      <c r="E40" s="59"/>
      <c r="F40" s="78">
        <f t="shared" ref="F40:F43" si="2">+D40+E40</f>
        <v>0</v>
      </c>
    </row>
    <row r="41" spans="1:6" ht="20.25" customHeight="1" x14ac:dyDescent="0.45">
      <c r="A41" s="78"/>
      <c r="B41" s="81"/>
      <c r="C41" s="79"/>
      <c r="D41" s="78"/>
      <c r="E41" s="78"/>
      <c r="F41" s="78">
        <f t="shared" si="2"/>
        <v>0</v>
      </c>
    </row>
    <row r="42" spans="1:6" ht="20.25" customHeight="1" x14ac:dyDescent="0.45">
      <c r="A42" s="78"/>
      <c r="B42" s="80"/>
      <c r="C42" s="79"/>
      <c r="D42" s="78"/>
      <c r="E42" s="78"/>
      <c r="F42" s="78">
        <f t="shared" si="2"/>
        <v>0</v>
      </c>
    </row>
    <row r="43" spans="1:6" ht="24" customHeight="1" thickBot="1" x14ac:dyDescent="0.5">
      <c r="A43" s="78"/>
      <c r="B43" s="81"/>
      <c r="C43" s="79"/>
      <c r="D43" s="78"/>
      <c r="E43" s="78"/>
      <c r="F43" s="78">
        <f t="shared" si="2"/>
        <v>0</v>
      </c>
    </row>
    <row r="44" spans="1:6" ht="18.399999999999999" thickBot="1" x14ac:dyDescent="0.6">
      <c r="A44" s="69"/>
      <c r="B44" s="91"/>
      <c r="C44" s="70"/>
      <c r="D44" s="71">
        <f>SUM(D18:D43)</f>
        <v>135</v>
      </c>
      <c r="E44" s="72">
        <f>SUM(E18:E43)</f>
        <v>138</v>
      </c>
      <c r="F44" s="73">
        <f>SUM(F18:F43)</f>
        <v>273</v>
      </c>
    </row>
    <row r="48" spans="1:6" ht="15.75" x14ac:dyDescent="0.45">
      <c r="B48" s="43"/>
    </row>
    <row r="49" spans="2:2" ht="15.75" x14ac:dyDescent="0.45">
      <c r="B49" s="43"/>
    </row>
  </sheetData>
  <mergeCells count="8">
    <mergeCell ref="A1:A2"/>
    <mergeCell ref="B1:B2"/>
    <mergeCell ref="C1:C2"/>
    <mergeCell ref="D1:F1"/>
    <mergeCell ref="A16:A17"/>
    <mergeCell ref="B16:B17"/>
    <mergeCell ref="C16:C17"/>
    <mergeCell ref="D16:F16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B0BFF-9E46-4BA9-8CAC-74C57FFD171B}">
  <dimension ref="A2:H15"/>
  <sheetViews>
    <sheetView workbookViewId="0">
      <selection activeCell="A9" sqref="A9"/>
    </sheetView>
  </sheetViews>
  <sheetFormatPr baseColWidth="10" defaultRowHeight="14.25" x14ac:dyDescent="0.45"/>
  <cols>
    <col min="1" max="1" width="14.53125" customWidth="1"/>
    <col min="3" max="3" width="47.6640625" customWidth="1"/>
    <col min="4" max="4" width="13" customWidth="1"/>
    <col min="5" max="5" width="13.53125" customWidth="1"/>
    <col min="6" max="6" width="13.33203125" customWidth="1"/>
  </cols>
  <sheetData>
    <row r="2" spans="1:8" ht="18.399999999999999" x14ac:dyDescent="0.45">
      <c r="A2" s="121" t="s">
        <v>65</v>
      </c>
      <c r="B2" s="122"/>
      <c r="C2" s="122"/>
      <c r="D2" s="122"/>
      <c r="E2" s="122"/>
      <c r="F2" s="123"/>
    </row>
    <row r="3" spans="1:8" ht="21.75" customHeight="1" x14ac:dyDescent="0.45">
      <c r="A3" s="64" t="s">
        <v>57</v>
      </c>
      <c r="B3" s="64" t="s">
        <v>58</v>
      </c>
      <c r="C3" s="64" t="s">
        <v>59</v>
      </c>
      <c r="D3" s="64" t="s">
        <v>54</v>
      </c>
      <c r="E3" s="64" t="s">
        <v>53</v>
      </c>
      <c r="F3" s="64" t="s">
        <v>55</v>
      </c>
    </row>
    <row r="4" spans="1:8" ht="20.25" customHeight="1" x14ac:dyDescent="0.45">
      <c r="A4" s="59" t="s">
        <v>80</v>
      </c>
      <c r="B4" s="59">
        <v>2</v>
      </c>
      <c r="C4" s="63" t="s">
        <v>81</v>
      </c>
      <c r="D4" s="59">
        <v>21</v>
      </c>
      <c r="E4" s="59">
        <v>25</v>
      </c>
      <c r="F4" s="59">
        <f t="shared" ref="F4:F14" si="0">SUM(D4:E4)</f>
        <v>46</v>
      </c>
    </row>
    <row r="5" spans="1:8" ht="37.5" customHeight="1" x14ac:dyDescent="0.45">
      <c r="A5" s="59" t="s">
        <v>85</v>
      </c>
      <c r="B5" s="59">
        <v>7</v>
      </c>
      <c r="C5" s="63" t="s">
        <v>86</v>
      </c>
      <c r="D5" s="59">
        <v>77</v>
      </c>
      <c r="E5" s="59">
        <v>113</v>
      </c>
      <c r="F5" s="59">
        <f t="shared" si="0"/>
        <v>190</v>
      </c>
    </row>
    <row r="6" spans="1:8" ht="29.25" customHeight="1" x14ac:dyDescent="0.45">
      <c r="A6" s="59" t="s">
        <v>88</v>
      </c>
      <c r="B6" s="59">
        <v>6</v>
      </c>
      <c r="C6" s="63" t="s">
        <v>89</v>
      </c>
      <c r="D6" s="59">
        <v>88</v>
      </c>
      <c r="E6" s="59">
        <v>56</v>
      </c>
      <c r="F6" s="59">
        <f t="shared" si="0"/>
        <v>144</v>
      </c>
    </row>
    <row r="7" spans="1:8" ht="35.25" customHeight="1" x14ac:dyDescent="0.45">
      <c r="A7" s="59" t="s">
        <v>92</v>
      </c>
      <c r="B7" s="59">
        <v>6</v>
      </c>
      <c r="C7" s="63" t="s">
        <v>93</v>
      </c>
      <c r="D7" s="59">
        <v>36</v>
      </c>
      <c r="E7" s="59">
        <v>119</v>
      </c>
      <c r="F7" s="59">
        <f t="shared" si="0"/>
        <v>155</v>
      </c>
    </row>
    <row r="8" spans="1:8" ht="36" customHeight="1" x14ac:dyDescent="0.45">
      <c r="A8" s="59" t="s">
        <v>102</v>
      </c>
      <c r="B8" s="59">
        <v>8</v>
      </c>
      <c r="C8" s="63" t="s">
        <v>103</v>
      </c>
      <c r="D8" s="59">
        <v>93</v>
      </c>
      <c r="E8" s="59">
        <v>144</v>
      </c>
      <c r="F8" s="59">
        <f t="shared" si="0"/>
        <v>237</v>
      </c>
    </row>
    <row r="9" spans="1:8" ht="19.5" customHeight="1" x14ac:dyDescent="0.45">
      <c r="A9" s="59"/>
      <c r="B9" s="59"/>
      <c r="C9" s="59"/>
      <c r="D9" s="59"/>
      <c r="E9" s="59"/>
      <c r="F9" s="59">
        <f t="shared" si="0"/>
        <v>0</v>
      </c>
    </row>
    <row r="10" spans="1:8" x14ac:dyDescent="0.45">
      <c r="A10" s="59"/>
      <c r="B10" s="59"/>
      <c r="C10" s="63"/>
      <c r="D10" s="59"/>
      <c r="E10" s="59"/>
      <c r="F10" s="59">
        <f t="shared" si="0"/>
        <v>0</v>
      </c>
    </row>
    <row r="11" spans="1:8" ht="19.5" customHeight="1" x14ac:dyDescent="0.45">
      <c r="A11" s="59"/>
      <c r="B11" s="59"/>
      <c r="C11" s="59"/>
      <c r="D11" s="59"/>
      <c r="E11" s="59"/>
      <c r="F11" s="59">
        <f t="shared" si="0"/>
        <v>0</v>
      </c>
    </row>
    <row r="12" spans="1:8" ht="26.25" customHeight="1" x14ac:dyDescent="0.45">
      <c r="A12" s="92"/>
      <c r="B12" s="92"/>
      <c r="C12" s="63"/>
      <c r="D12" s="59"/>
      <c r="E12" s="59"/>
      <c r="F12" s="59">
        <f t="shared" si="0"/>
        <v>0</v>
      </c>
    </row>
    <row r="13" spans="1:8" ht="29.25" customHeight="1" x14ac:dyDescent="0.45">
      <c r="A13" s="92"/>
      <c r="B13" s="92"/>
      <c r="C13" s="63"/>
      <c r="D13" s="59"/>
      <c r="E13" s="59"/>
      <c r="F13" s="59">
        <f t="shared" si="0"/>
        <v>0</v>
      </c>
    </row>
    <row r="14" spans="1:8" ht="24.75" customHeight="1" x14ac:dyDescent="0.45">
      <c r="A14" s="59"/>
      <c r="B14" s="59"/>
      <c r="C14" s="63"/>
      <c r="D14" s="59"/>
      <c r="E14" s="59"/>
      <c r="F14" s="59">
        <f t="shared" si="0"/>
        <v>0</v>
      </c>
      <c r="H14" s="43"/>
    </row>
    <row r="15" spans="1:8" ht="20.25" customHeight="1" x14ac:dyDescent="0.45">
      <c r="A15" s="64" t="s">
        <v>55</v>
      </c>
      <c r="B15" s="64">
        <f>SUM(B4:B14)</f>
        <v>29</v>
      </c>
      <c r="C15" s="64"/>
      <c r="D15" s="64">
        <f>SUM(D4:D14)</f>
        <v>315</v>
      </c>
      <c r="E15" s="64">
        <f>SUM(E4:E14)</f>
        <v>457</v>
      </c>
      <c r="F15" s="64">
        <f>SUM(F4:F14)</f>
        <v>772</v>
      </c>
    </row>
  </sheetData>
  <mergeCells count="1">
    <mergeCell ref="A2:F2"/>
  </mergeCells>
  <phoneticPr fontId="2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Informe Gestión Mensual</vt:lpstr>
      <vt:lpstr>TERRITORIALIZACIÓN</vt:lpstr>
      <vt:lpstr>Anexo- Intercambios &amp; Ruedas</vt:lpstr>
      <vt:lpstr>ANEXO-ESNNA</vt:lpstr>
      <vt:lpstr>'Anexo- Intercambios &amp; Ruedas'!_Hlk230767011</vt:lpstr>
    </vt:vector>
  </TitlesOfParts>
  <Company>INTUR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Erasmo Guevara</dc:creator>
  <cp:lastModifiedBy>silvio leonardo rodriguez tiffer</cp:lastModifiedBy>
  <cp:lastPrinted>2026-07-02T20:37:57Z</cp:lastPrinted>
  <dcterms:created xsi:type="dcterms:W3CDTF">2015-03-17T15:40:07Z</dcterms:created>
  <dcterms:modified xsi:type="dcterms:W3CDTF">2026-10-01T20:59:18Z</dcterms:modified>
</cp:coreProperties>
</file>