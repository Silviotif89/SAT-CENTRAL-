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 8th Gen\Downloads\"/>
    </mc:Choice>
  </mc:AlternateContent>
  <xr:revisionPtr revIDLastSave="0" documentId="13_ncr:1_{B4403A98-AC0D-4A38-BABB-570D43BAEC5A}" xr6:coauthVersionLast="47" xr6:coauthVersionMax="47" xr10:uidLastSave="{00000000-0000-0000-0000-000000000000}"/>
  <bookViews>
    <workbookView xWindow="-98" yWindow="-98" windowWidth="14595" windowHeight="8296" xr2:uid="{00000000-000D-0000-FFFF-FFFF00000000}"/>
  </bookViews>
  <sheets>
    <sheet name="PLAN JULIO 2026" sheetId="1" r:id="rId1"/>
    <sheet name="Hoja1" sheetId="2" r:id="rId2"/>
  </sheets>
  <definedNames>
    <definedName name="_xlnm._FilterDatabase" localSheetId="0" hidden="1">'PLAN JULIO 2026'!$A$3:$M$43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" l="1"/>
  <c r="J61" i="1"/>
  <c r="J58" i="1"/>
  <c r="J46" i="1"/>
  <c r="J54" i="1"/>
  <c r="J44" i="1"/>
  <c r="J41" i="1"/>
  <c r="J38" i="1"/>
  <c r="J35" i="1"/>
  <c r="J32" i="1"/>
  <c r="J27" i="1"/>
  <c r="J22" i="1"/>
  <c r="J17" i="1"/>
  <c r="J14" i="1"/>
  <c r="J10" i="1"/>
  <c r="J6" i="1"/>
  <c r="J4" i="1"/>
  <c r="I42" i="1"/>
  <c r="I22" i="1"/>
  <c r="I60" i="1"/>
  <c r="I12" i="1"/>
  <c r="I53" i="1"/>
  <c r="I9" i="1"/>
  <c r="I63" i="1"/>
  <c r="I59" i="1"/>
  <c r="I20" i="1"/>
  <c r="I40" i="1"/>
  <c r="I52" i="1"/>
  <c r="I57" i="1"/>
  <c r="I8" i="1"/>
  <c r="I56" i="1"/>
  <c r="I51" i="1"/>
  <c r="I55" i="1"/>
  <c r="I37" i="1"/>
  <c r="I36" i="1"/>
  <c r="I13" i="1"/>
  <c r="I45" i="1"/>
  <c r="I26" i="1"/>
  <c r="I48" i="1"/>
  <c r="I5" i="1"/>
  <c r="I17" i="1"/>
  <c r="I18" i="1"/>
  <c r="I19" i="1"/>
  <c r="I21" i="1"/>
  <c r="I33" i="1"/>
  <c r="I34" i="1"/>
  <c r="I32" i="1"/>
  <c r="I61" i="1"/>
  <c r="I62" i="1"/>
  <c r="I58" i="1"/>
  <c r="I54" i="1"/>
  <c r="I46" i="1"/>
  <c r="I47" i="1"/>
  <c r="I49" i="1"/>
  <c r="I50" i="1"/>
  <c r="I35" i="1"/>
  <c r="I38" i="1"/>
  <c r="I31" i="1"/>
  <c r="I10" i="1"/>
  <c r="I11" i="1"/>
  <c r="I14" i="1"/>
  <c r="I15" i="1"/>
  <c r="I16" i="1"/>
  <c r="I44" i="1"/>
  <c r="I43" i="1"/>
  <c r="I6" i="1"/>
  <c r="I7" i="1"/>
  <c r="I41" i="1"/>
  <c r="I30" i="1"/>
  <c r="I28" i="1"/>
  <c r="I29" i="1"/>
  <c r="I27" i="1"/>
  <c r="I25" i="1"/>
  <c r="I24" i="1"/>
  <c r="I23" i="1"/>
  <c r="I4" i="1"/>
  <c r="J21" i="1" l="1"/>
  <c r="J31" i="1"/>
</calcChain>
</file>

<file path=xl/sharedStrings.xml><?xml version="1.0" encoding="utf-8"?>
<sst xmlns="http://schemas.openxmlformats.org/spreadsheetml/2006/main" count="316" uniqueCount="204">
  <si>
    <t>No.</t>
  </si>
  <si>
    <t>Departamento</t>
  </si>
  <si>
    <t>Municipio</t>
  </si>
  <si>
    <t>Nombre  del Curso</t>
  </si>
  <si>
    <t>Duración</t>
  </si>
  <si>
    <t>Grupo Meta</t>
  </si>
  <si>
    <t xml:space="preserve">Hombres </t>
  </si>
  <si>
    <t>Mujeres</t>
  </si>
  <si>
    <t>Total</t>
  </si>
  <si>
    <t>Protagonistas Certificados</t>
  </si>
  <si>
    <t xml:space="preserve">Fecha </t>
  </si>
  <si>
    <t>Meta a Capacitar</t>
  </si>
  <si>
    <t>Facilitador</t>
  </si>
  <si>
    <t>BOACO</t>
  </si>
  <si>
    <t>CARAZO</t>
  </si>
  <si>
    <t>Jinotepe</t>
  </si>
  <si>
    <t>INATEC</t>
  </si>
  <si>
    <t>ESTELÍ</t>
  </si>
  <si>
    <t>Granada</t>
  </si>
  <si>
    <t>MATAGALPA</t>
  </si>
  <si>
    <t>INTUR</t>
  </si>
  <si>
    <t xml:space="preserve">INTUR </t>
  </si>
  <si>
    <t xml:space="preserve">CHONTALES </t>
  </si>
  <si>
    <t xml:space="preserve">JINOTEGA </t>
  </si>
  <si>
    <t>LEON</t>
  </si>
  <si>
    <t xml:space="preserve">GRANADA </t>
  </si>
  <si>
    <t>MASAYA</t>
  </si>
  <si>
    <t>RIO SAN JUAN</t>
  </si>
  <si>
    <t>RIVAS -SAN JUAN DEL SUR</t>
  </si>
  <si>
    <t xml:space="preserve">RIVAS </t>
  </si>
  <si>
    <t>DEPARTAMENTO: ACOMPAÑAMIENTO TÉCNICO</t>
  </si>
  <si>
    <t>Estelì</t>
  </si>
  <si>
    <t>Leon</t>
  </si>
  <si>
    <t>Boaco</t>
  </si>
  <si>
    <t>MADRIZ</t>
  </si>
  <si>
    <t>Somoto</t>
  </si>
  <si>
    <t>NUEVA SEGOVIA</t>
  </si>
  <si>
    <t>Esteli</t>
  </si>
  <si>
    <t>MANAGUA</t>
  </si>
  <si>
    <t>Managua</t>
  </si>
  <si>
    <t>PLAN DE CAPACITACIÓN A IMPARTIRSE EN EL MES DE JULIO.</t>
  </si>
  <si>
    <t>08:00 a.m. a 12:00 m.d.</t>
  </si>
  <si>
    <t>RACCS</t>
  </si>
  <si>
    <t>1</t>
  </si>
  <si>
    <t>2</t>
  </si>
  <si>
    <t>4</t>
  </si>
  <si>
    <t>7</t>
  </si>
  <si>
    <t>8</t>
  </si>
  <si>
    <t>10</t>
  </si>
  <si>
    <t>Masaya</t>
  </si>
  <si>
    <t>San Juan Del Sur</t>
  </si>
  <si>
    <t xml:space="preserve"> Capacitación Redes Sociales en Gestión de Negocios Turísticos</t>
  </si>
  <si>
    <t>9:30 a.m. a 12:00 m.d.</t>
  </si>
  <si>
    <t>Matagalpa</t>
  </si>
  <si>
    <t>Telpaneca</t>
  </si>
  <si>
    <t>RACCN</t>
  </si>
  <si>
    <t>CHINANDEGA</t>
  </si>
  <si>
    <t xml:space="preserve">Taller de Turismo Rural y Comunitario </t>
  </si>
  <si>
    <t>Nueva Guinea</t>
  </si>
  <si>
    <t>1:00 p.m.</t>
  </si>
  <si>
    <t>Camoapa</t>
  </si>
  <si>
    <t>Chinandega</t>
  </si>
  <si>
    <t>9:00 a.m.</t>
  </si>
  <si>
    <t>9:00 a.m.-12:00 m.d.</t>
  </si>
  <si>
    <t>8:00 a.m.-12:00 m.d.</t>
  </si>
  <si>
    <t>10:00 a.m.</t>
  </si>
  <si>
    <t>UNA</t>
  </si>
  <si>
    <t>Capacitación en Limpieza y Arreglo de Habitaciones en Hotelería</t>
  </si>
  <si>
    <t>La Paz Centro</t>
  </si>
  <si>
    <t>El Rama</t>
  </si>
  <si>
    <t xml:space="preserve">Ocotal </t>
  </si>
  <si>
    <t>8:00 a.m.</t>
  </si>
  <si>
    <t>2:00 p.m.</t>
  </si>
  <si>
    <t xml:space="preserve"> INATEC</t>
  </si>
  <si>
    <t>11</t>
  </si>
  <si>
    <t>14</t>
  </si>
  <si>
    <t>17</t>
  </si>
  <si>
    <t>18</t>
  </si>
  <si>
    <t>23</t>
  </si>
  <si>
    <t>29</t>
  </si>
  <si>
    <t>30</t>
  </si>
  <si>
    <t>34</t>
  </si>
  <si>
    <t>36</t>
  </si>
  <si>
    <t>Chontales</t>
  </si>
  <si>
    <t>44</t>
  </si>
  <si>
    <t>45</t>
  </si>
  <si>
    <t>47</t>
  </si>
  <si>
    <t>48</t>
  </si>
  <si>
    <t>52</t>
  </si>
  <si>
    <t>15</t>
  </si>
  <si>
    <t>Capacitación sobre Servicio de Habitaciones</t>
  </si>
  <si>
    <t>Capacitación de Servicio a la vista del cliente</t>
  </si>
  <si>
    <t>Manipulación higiénica de alimentos y bebidas</t>
  </si>
  <si>
    <t>MINSA</t>
  </si>
  <si>
    <t>9:00 a.m.-10:15a.m.</t>
  </si>
  <si>
    <t>9:30a.m.</t>
  </si>
  <si>
    <t>Capacitación sobre Manipulación higiénica de los alimentos (EAAI)</t>
  </si>
  <si>
    <t>Capacitación Manipulación en crudo de los pescados y mariscos</t>
  </si>
  <si>
    <t>9:00a.m.-12:00 m.d.</t>
  </si>
  <si>
    <t>San Miguelito</t>
  </si>
  <si>
    <t>Capacitación Sabores Gastronómicos de Nicaragua</t>
  </si>
  <si>
    <t>Capacitación en Elaboración de Cócteles Artesanales</t>
  </si>
  <si>
    <t>4,5,6/8/2026</t>
  </si>
  <si>
    <t>Capacitación sobre Elaboración de Pastelería Salada</t>
  </si>
  <si>
    <t xml:space="preserve">Capacitación sobre publicaciones y creaciones de contenido </t>
  </si>
  <si>
    <t>El Castillo</t>
  </si>
  <si>
    <t>Taller de limpieza y arreglo de habitaciones</t>
  </si>
  <si>
    <t>Taller importancia de la imagen corporativa en el sector de la hotelería y turismo</t>
  </si>
  <si>
    <t>San Carlos</t>
  </si>
  <si>
    <t>Capacitación sobre atención a visitantes nacionales y de otras nacionalidades</t>
  </si>
  <si>
    <t>Capacitación elaboración de cócteles artesanales</t>
  </si>
  <si>
    <t>8:30 a.m.-11:30 a.m.</t>
  </si>
  <si>
    <t>Capacitación técnicas de atención al cliente con estrategias de ventas</t>
  </si>
  <si>
    <t>Capacitación en elaboración de batidos naturales y nutritivos</t>
  </si>
  <si>
    <t>San Jorge</t>
  </si>
  <si>
    <t>Taller de funcionamiento de recepción en las empresas de hospedaje</t>
  </si>
  <si>
    <t>Capacitación de gestión de costos y fijación de precios en negocios</t>
  </si>
  <si>
    <t>Taller sobre Elaboración de cócteles artesanales</t>
  </si>
  <si>
    <t>Capacitación en Marketing turístico y digital</t>
  </si>
  <si>
    <t>Capacitación sobre uso de redes sociales</t>
  </si>
  <si>
    <t>1:00 p.m.-5:00 p.m.</t>
  </si>
  <si>
    <t>Ostional</t>
  </si>
  <si>
    <t>10:00 a.m.-12:30 p.m.</t>
  </si>
  <si>
    <t>Capacitación de elaboración de postres y restaurantes</t>
  </si>
  <si>
    <t>Altagracia</t>
  </si>
  <si>
    <t>Corn Island</t>
  </si>
  <si>
    <t>Taller de Gestión de talento humano,  liderazgo y desarrollo humano en negocios turísticos</t>
  </si>
  <si>
    <t>Curso de cocina para meseros</t>
  </si>
  <si>
    <t>Siuna</t>
  </si>
  <si>
    <t>URACCAN-SETEC</t>
  </si>
  <si>
    <t>BICU-SETEC</t>
  </si>
  <si>
    <t>UNA-SETEC</t>
  </si>
  <si>
    <t>UNAN-León SETEC</t>
  </si>
  <si>
    <t>UMRMA-SETEC</t>
  </si>
  <si>
    <t>CUR Carazo-SETEC</t>
  </si>
  <si>
    <t>Taller de elarobación de cócteles y aperitivos</t>
  </si>
  <si>
    <t>10,11,12/8/2026</t>
  </si>
  <si>
    <t>Capacitación en Elaboración de arroces, pastas y tubérculos</t>
  </si>
  <si>
    <t>8:00 a.m.- 1:00 p.m.</t>
  </si>
  <si>
    <t>Taller de primeros auxilios</t>
  </si>
  <si>
    <t>Cruz Blanca</t>
  </si>
  <si>
    <t>13,18/8/2026</t>
  </si>
  <si>
    <t>Tipitapa</t>
  </si>
  <si>
    <t>Capacitación sobre técnicas de atención al cliente</t>
  </si>
  <si>
    <t>1:30 p.m.-3:30 p.m.</t>
  </si>
  <si>
    <t>2:00 p.m.-5:00 p.m.</t>
  </si>
  <si>
    <t>Capacitación de redes sociales, publicidad y creación de contenido para negocios turísticos</t>
  </si>
  <si>
    <t>Bluefields</t>
  </si>
  <si>
    <t>Capacitación en Marketing turistico paso a paso</t>
  </si>
  <si>
    <t>Capacitación de Turismo sostenible</t>
  </si>
  <si>
    <t>Diriamba</t>
  </si>
  <si>
    <t>Capacitación de gestión empresarial</t>
  </si>
  <si>
    <t>Curso de técnicas de guiado turístico, interpretación del patrimonio y manejo de grupos</t>
  </si>
  <si>
    <t>10,17,24/8/2026</t>
  </si>
  <si>
    <t>Capacitación técnica de atención al cliente y estrategia  de ventas</t>
  </si>
  <si>
    <t>8:00 a.m.-5:00 p.m.</t>
  </si>
  <si>
    <t>Capacitación en cultura de servicios turísticos</t>
  </si>
  <si>
    <t>Puerto Cabezas</t>
  </si>
  <si>
    <t>Capacitación sobre Ley Nº842 y su reglamento</t>
  </si>
  <si>
    <t>MIFIC</t>
  </si>
  <si>
    <t>Capacitación en Diseño de paquetes, rutas y experiencias turísticas rentables</t>
  </si>
  <si>
    <t>Conservación del patrimonio cultural y natural</t>
  </si>
  <si>
    <t>9:00 a.m.-11:00 a.m.</t>
  </si>
  <si>
    <t>Capacitación en atención a visitantes nacionales y de otras nacionalidades</t>
  </si>
  <si>
    <t>Jícaro</t>
  </si>
  <si>
    <t>Capacitación sobre técnicas culinarias para eventos navideños</t>
  </si>
  <si>
    <t>8:00 a.m.-2:00 p.m.</t>
  </si>
  <si>
    <t>Taller de elaboración de contratos y cálculo de prestaciones sociales</t>
  </si>
  <si>
    <t>MITRAB</t>
  </si>
  <si>
    <t>Capacitación dirigida sobre elaboración de menú gastronómico digital</t>
  </si>
  <si>
    <t>Rosita</t>
  </si>
  <si>
    <t>Taller de Capacitación sobre Ley Nº842 Protección de los Derechos de las
	personas consumidoras y usuarias.</t>
  </si>
  <si>
    <t>10:00 a.m.-4:00 p.m.</t>
  </si>
  <si>
    <t>13,20,27/8/2026</t>
  </si>
  <si>
    <t>Taller de liderazgo y emprendedurismo en el turismo</t>
  </si>
  <si>
    <t>La Concordia</t>
  </si>
  <si>
    <t>Capacitación sobre importancia de la imagen corporativa en el sector hotelero y turismo</t>
  </si>
  <si>
    <t xml:space="preserve">Capacitación sobre gestión de costos y fijación de precios </t>
  </si>
  <si>
    <t>8:00 a.m.-12:15 p.m.</t>
  </si>
  <si>
    <t>UNAN-SETEC</t>
  </si>
  <si>
    <t xml:space="preserve">Capacitación en Técnicas de atención al cliente transporte turístico (Tricicleros) </t>
  </si>
  <si>
    <t>2:00 p.m.-4:30 p.m.</t>
  </si>
  <si>
    <t>Capacitación sobre redes sociales</t>
  </si>
  <si>
    <t>Taller de Importancia de la Imagen Corporativa en el Sector de la hotelería y turismo</t>
  </si>
  <si>
    <t>Red de Comunicadores</t>
  </si>
  <si>
    <t>Nagarote</t>
  </si>
  <si>
    <t>Taller sobre Pastelería salada</t>
  </si>
  <si>
    <t>12:30 p.m.-5:30 p.m.</t>
  </si>
  <si>
    <t>11,12/8/2026</t>
  </si>
  <si>
    <t>4,5,6,7/8/2026</t>
  </si>
  <si>
    <t>3</t>
  </si>
  <si>
    <t>5</t>
  </si>
  <si>
    <t>6</t>
  </si>
  <si>
    <t>12</t>
  </si>
  <si>
    <t>13</t>
  </si>
  <si>
    <t>19</t>
  </si>
  <si>
    <t>38</t>
  </si>
  <si>
    <t>39</t>
  </si>
  <si>
    <t>43</t>
  </si>
  <si>
    <t>Taller manipulación en crudo de pescados y mariscos</t>
  </si>
  <si>
    <t>57</t>
  </si>
  <si>
    <t>58</t>
  </si>
  <si>
    <t>59</t>
  </si>
  <si>
    <t xml:space="preserve">TOTAL PERSONAS CAPACITADAS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</si>
</sst>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C$&quot;\ * #,##0.00_);_(&quot;C$&quot;\ * \(#,##0.00\);_(&quot;C$&quot;\ 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indexed="8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sz val="10"/>
      <name val="Arial"/>
      <family val="2"/>
    </font>
    <font>
      <sz val="14"/>
      <color indexed="8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sz val="8"/>
      <color theme="0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name val="Cambria"/>
      <family val="1"/>
      <scheme val="maj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4"/>
      <color indexed="8"/>
      <name val="Cambria"/>
      <family val="1"/>
    </font>
    <font>
      <b/>
      <sz val="10"/>
      <color rgb="FF000000"/>
      <name val="Cambria"/>
      <family val="1"/>
      <scheme val="major"/>
    </font>
    <font>
      <sz val="10"/>
      <color theme="1"/>
      <name val="Cambria"/>
      <family val="1"/>
    </font>
    <font>
      <b/>
      <sz val="16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49CCC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/>
    <xf numFmtId="0" fontId="3" fillId="0" borderId="0"/>
    <xf numFmtId="0" fontId="6" fillId="0" borderId="0"/>
  </cellStyleXfs>
  <cellXfs count="73">
    <xf numFmtId="0" fontId="0" fillId="0" borderId="0" xfId="0"/>
    <xf numFmtId="0" fontId="8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0" xfId="0" applyFont="1"/>
    <xf numFmtId="164" fontId="12" fillId="0" borderId="3" xfId="1" applyFont="1" applyBorder="1" applyAlignment="1">
      <alignment horizontal="center" vertical="center" wrapText="1"/>
    </xf>
    <xf numFmtId="164" fontId="5" fillId="0" borderId="3" xfId="1" applyFont="1" applyBorder="1" applyAlignment="1">
      <alignment horizontal="center" vertical="center" wrapText="1"/>
    </xf>
    <xf numFmtId="0" fontId="14" fillId="0" borderId="3" xfId="0" applyFont="1" applyBorder="1"/>
    <xf numFmtId="14" fontId="12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49" fontId="5" fillId="0" borderId="3" xfId="2" applyNumberFormat="1" applyFont="1" applyBorder="1" applyAlignment="1">
      <alignment vertical="center" wrapText="1"/>
    </xf>
    <xf numFmtId="0" fontId="14" fillId="0" borderId="4" xfId="0" applyFont="1" applyBorder="1"/>
    <xf numFmtId="0" fontId="7" fillId="0" borderId="3" xfId="2" applyFont="1" applyBorder="1" applyAlignment="1">
      <alignment horizontal="center" vertical="center" wrapText="1"/>
    </xf>
    <xf numFmtId="0" fontId="16" fillId="0" borderId="3" xfId="0" applyFont="1" applyBorder="1"/>
    <xf numFmtId="0" fontId="15" fillId="0" borderId="3" xfId="0" applyFont="1" applyBorder="1" applyAlignment="1">
      <alignment horizontal="center" vertical="center" wrapText="1"/>
    </xf>
    <xf numFmtId="0" fontId="14" fillId="0" borderId="7" xfId="0" applyFont="1" applyBorder="1"/>
    <xf numFmtId="0" fontId="14" fillId="0" borderId="8" xfId="0" applyFont="1" applyBorder="1"/>
    <xf numFmtId="0" fontId="20" fillId="0" borderId="3" xfId="0" applyFont="1" applyBorder="1" applyAlignment="1">
      <alignment horizontal="center" vertical="center" wrapText="1"/>
    </xf>
    <xf numFmtId="0" fontId="14" fillId="0" borderId="9" xfId="0" applyFont="1" applyBorder="1"/>
    <xf numFmtId="0" fontId="14" fillId="0" borderId="3" xfId="0" applyFont="1" applyBorder="1" applyAlignment="1">
      <alignment horizontal="center" vertical="center" wrapText="1"/>
    </xf>
    <xf numFmtId="20" fontId="16" fillId="0" borderId="3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4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19" fillId="0" borderId="4" xfId="2" applyNumberFormat="1" applyFont="1" applyBorder="1" applyAlignment="1">
      <alignment horizontal="center" vertical="center" wrapText="1"/>
    </xf>
    <xf numFmtId="49" fontId="19" fillId="0" borderId="5" xfId="2" applyNumberFormat="1" applyFont="1" applyBorder="1" applyAlignment="1">
      <alignment horizontal="center" vertical="center" wrapText="1"/>
    </xf>
    <xf numFmtId="49" fontId="19" fillId="0" borderId="6" xfId="2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21" fillId="0" borderId="3" xfId="0" applyFont="1" applyBorder="1"/>
  </cellXfs>
  <cellStyles count="4">
    <cellStyle name="Moneda" xfId="1" builtinId="4"/>
    <cellStyle name="Normal" xfId="0" builtinId="0"/>
    <cellStyle name="Normal 2" xfId="3" xr:uid="{00000000-0005-0000-0000-000003000000}"/>
    <cellStyle name="Normal_Hoja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G66"/>
  <sheetViews>
    <sheetView tabSelected="1" topLeftCell="A59" zoomScale="80" zoomScaleNormal="80" workbookViewId="0">
      <selection activeCell="A64" sqref="A64:J64"/>
    </sheetView>
  </sheetViews>
  <sheetFormatPr baseColWidth="10" defaultColWidth="11.3984375" defaultRowHeight="13.5" x14ac:dyDescent="0.35"/>
  <cols>
    <col min="1" max="1" width="4" style="15" customWidth="1"/>
    <col min="2" max="2" width="14" style="15" customWidth="1"/>
    <col min="3" max="3" width="17.265625" style="15" customWidth="1"/>
    <col min="4" max="4" width="54.59765625" style="15" customWidth="1"/>
    <col min="5" max="9" width="11.3984375" style="15"/>
    <col min="10" max="10" width="14.86328125" style="15" customWidth="1"/>
    <col min="11" max="11" width="16.59765625" style="15" customWidth="1"/>
    <col min="12" max="12" width="11.3984375" style="15"/>
    <col min="13" max="13" width="16.265625" style="20" customWidth="1"/>
    <col min="14" max="16384" width="11.3984375" style="15"/>
  </cols>
  <sheetData>
    <row r="1" spans="1:13" x14ac:dyDescent="0.35">
      <c r="A1" s="66" t="s">
        <v>40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x14ac:dyDescent="0.35">
      <c r="A2" s="66" t="s">
        <v>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36.75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1" t="s">
        <v>10</v>
      </c>
      <c r="L3" s="1" t="s">
        <v>11</v>
      </c>
      <c r="M3" s="1" t="s">
        <v>12</v>
      </c>
    </row>
    <row r="4" spans="1:13" ht="30" customHeight="1" x14ac:dyDescent="0.35">
      <c r="A4" s="4" t="s">
        <v>190</v>
      </c>
      <c r="B4" s="40" t="s">
        <v>13</v>
      </c>
      <c r="C4" s="13" t="s">
        <v>33</v>
      </c>
      <c r="D4" s="8" t="s">
        <v>101</v>
      </c>
      <c r="E4" s="5" t="s">
        <v>65</v>
      </c>
      <c r="F4" s="6"/>
      <c r="G4" s="9">
        <v>20</v>
      </c>
      <c r="H4" s="9">
        <v>12</v>
      </c>
      <c r="I4" s="9">
        <f>SUM(G4:H4)</f>
        <v>32</v>
      </c>
      <c r="J4" s="46">
        <f>SUM(I4:I5)</f>
        <v>52</v>
      </c>
      <c r="K4" s="19" t="s">
        <v>102</v>
      </c>
      <c r="L4" s="10">
        <v>25</v>
      </c>
      <c r="M4" s="16" t="s">
        <v>16</v>
      </c>
    </row>
    <row r="5" spans="1:13" ht="30" customHeight="1" x14ac:dyDescent="0.35">
      <c r="A5" s="4" t="s">
        <v>197</v>
      </c>
      <c r="B5" s="42"/>
      <c r="C5" s="13" t="s">
        <v>60</v>
      </c>
      <c r="D5" s="8" t="s">
        <v>149</v>
      </c>
      <c r="E5" s="5" t="s">
        <v>64</v>
      </c>
      <c r="F5" s="6"/>
      <c r="G5" s="9">
        <v>9</v>
      </c>
      <c r="H5" s="9">
        <v>11</v>
      </c>
      <c r="I5" s="9">
        <f>SUM(G5:H5)</f>
        <v>20</v>
      </c>
      <c r="J5" s="48"/>
      <c r="K5" s="19">
        <v>46254</v>
      </c>
      <c r="L5" s="7">
        <v>25</v>
      </c>
      <c r="M5" s="16" t="s">
        <v>20</v>
      </c>
    </row>
    <row r="6" spans="1:13" ht="30" customHeight="1" x14ac:dyDescent="0.35">
      <c r="A6" s="4" t="s">
        <v>46</v>
      </c>
      <c r="B6" s="40" t="s">
        <v>14</v>
      </c>
      <c r="C6" s="14" t="s">
        <v>15</v>
      </c>
      <c r="D6" s="8" t="s">
        <v>103</v>
      </c>
      <c r="E6" s="5" t="s">
        <v>62</v>
      </c>
      <c r="F6" s="6"/>
      <c r="G6" s="9">
        <v>4</v>
      </c>
      <c r="H6" s="9">
        <v>21</v>
      </c>
      <c r="I6" s="9">
        <f t="shared" ref="I6:I21" si="0">SUM(G6:H6)</f>
        <v>25</v>
      </c>
      <c r="J6" s="46">
        <f>SUM(I6:I9)</f>
        <v>77</v>
      </c>
      <c r="K6" s="19" t="s">
        <v>102</v>
      </c>
      <c r="L6" s="10">
        <v>25</v>
      </c>
      <c r="M6" s="16" t="s">
        <v>73</v>
      </c>
    </row>
    <row r="7" spans="1:13" ht="30.75" customHeight="1" x14ac:dyDescent="0.35">
      <c r="A7" s="4" t="s">
        <v>78</v>
      </c>
      <c r="B7" s="41"/>
      <c r="C7" s="14" t="s">
        <v>15</v>
      </c>
      <c r="D7" s="8" t="s">
        <v>116</v>
      </c>
      <c r="E7" s="5" t="s">
        <v>64</v>
      </c>
      <c r="F7" s="6"/>
      <c r="G7" s="9">
        <v>3</v>
      </c>
      <c r="H7" s="9">
        <v>6</v>
      </c>
      <c r="I7" s="9">
        <f t="shared" si="0"/>
        <v>9</v>
      </c>
      <c r="J7" s="47"/>
      <c r="K7" s="19">
        <v>46246</v>
      </c>
      <c r="L7" s="7">
        <v>25</v>
      </c>
      <c r="M7" s="16" t="s">
        <v>134</v>
      </c>
    </row>
    <row r="8" spans="1:13" ht="30.75" customHeight="1" x14ac:dyDescent="0.35">
      <c r="A8" s="4"/>
      <c r="B8" s="41"/>
      <c r="C8" s="14" t="s">
        <v>150</v>
      </c>
      <c r="D8" s="8" t="s">
        <v>151</v>
      </c>
      <c r="E8" s="5" t="s">
        <v>62</v>
      </c>
      <c r="F8" s="6"/>
      <c r="G8" s="9">
        <v>18</v>
      </c>
      <c r="H8" s="9">
        <v>12</v>
      </c>
      <c r="I8" s="9">
        <f t="shared" si="0"/>
        <v>30</v>
      </c>
      <c r="J8" s="47"/>
      <c r="K8" s="19">
        <v>46254</v>
      </c>
      <c r="L8" s="10">
        <v>25</v>
      </c>
      <c r="M8" s="16" t="s">
        <v>20</v>
      </c>
    </row>
    <row r="9" spans="1:13" ht="30.75" customHeight="1" x14ac:dyDescent="0.35">
      <c r="A9" s="4" t="s">
        <v>86</v>
      </c>
      <c r="B9" s="42"/>
      <c r="C9" s="14" t="s">
        <v>15</v>
      </c>
      <c r="D9" s="8" t="s">
        <v>160</v>
      </c>
      <c r="E9" s="5" t="s">
        <v>62</v>
      </c>
      <c r="F9" s="6"/>
      <c r="G9" s="9">
        <v>7</v>
      </c>
      <c r="H9" s="9">
        <v>6</v>
      </c>
      <c r="I9" s="9">
        <f t="shared" si="0"/>
        <v>13</v>
      </c>
      <c r="J9" s="48"/>
      <c r="K9" s="19">
        <v>46260</v>
      </c>
      <c r="L9" s="7">
        <v>25</v>
      </c>
      <c r="M9" s="16" t="s">
        <v>134</v>
      </c>
    </row>
    <row r="10" spans="1:13" ht="30" customHeight="1" x14ac:dyDescent="0.35">
      <c r="A10" s="4" t="s">
        <v>48</v>
      </c>
      <c r="B10" s="40" t="s">
        <v>22</v>
      </c>
      <c r="C10" s="8" t="s">
        <v>69</v>
      </c>
      <c r="D10" s="8" t="s">
        <v>183</v>
      </c>
      <c r="E10" s="5" t="s">
        <v>72</v>
      </c>
      <c r="F10" s="6"/>
      <c r="G10" s="9">
        <v>0</v>
      </c>
      <c r="H10" s="9">
        <v>10</v>
      </c>
      <c r="I10" s="9">
        <f t="shared" si="0"/>
        <v>10</v>
      </c>
      <c r="J10" s="43">
        <f>SUM(I10:I13)</f>
        <v>63</v>
      </c>
      <c r="K10" s="19">
        <v>46240</v>
      </c>
      <c r="L10" s="7">
        <v>25</v>
      </c>
      <c r="M10" s="10" t="s">
        <v>20</v>
      </c>
    </row>
    <row r="11" spans="1:13" ht="30" customHeight="1" x14ac:dyDescent="0.35">
      <c r="A11" s="4" t="s">
        <v>193</v>
      </c>
      <c r="B11" s="41"/>
      <c r="C11" s="8" t="s">
        <v>58</v>
      </c>
      <c r="D11" s="8" t="s">
        <v>107</v>
      </c>
      <c r="E11" s="5" t="s">
        <v>62</v>
      </c>
      <c r="F11" s="6"/>
      <c r="G11" s="9">
        <v>3</v>
      </c>
      <c r="H11" s="9">
        <v>3</v>
      </c>
      <c r="I11" s="9">
        <f t="shared" si="0"/>
        <v>6</v>
      </c>
      <c r="J11" s="44"/>
      <c r="K11" s="19">
        <v>46241</v>
      </c>
      <c r="L11" s="7">
        <v>25</v>
      </c>
      <c r="M11" s="30" t="s">
        <v>20</v>
      </c>
    </row>
    <row r="12" spans="1:13" ht="32.25" customHeight="1" x14ac:dyDescent="0.35">
      <c r="A12" s="4" t="s">
        <v>88</v>
      </c>
      <c r="B12" s="41"/>
      <c r="C12" s="8" t="s">
        <v>58</v>
      </c>
      <c r="D12" s="8" t="s">
        <v>152</v>
      </c>
      <c r="E12" s="5" t="s">
        <v>62</v>
      </c>
      <c r="F12" s="6"/>
      <c r="G12" s="9">
        <v>9</v>
      </c>
      <c r="H12" s="9">
        <v>23</v>
      </c>
      <c r="I12" s="9">
        <f t="shared" si="0"/>
        <v>32</v>
      </c>
      <c r="J12" s="44"/>
      <c r="K12" s="19">
        <v>46261</v>
      </c>
      <c r="L12" s="10">
        <v>25</v>
      </c>
      <c r="M12" s="17" t="s">
        <v>129</v>
      </c>
    </row>
    <row r="13" spans="1:13" ht="32.25" customHeight="1" x14ac:dyDescent="0.35">
      <c r="A13" s="4" t="s">
        <v>201</v>
      </c>
      <c r="B13" s="42"/>
      <c r="C13" s="8" t="s">
        <v>83</v>
      </c>
      <c r="D13" s="8" t="s">
        <v>174</v>
      </c>
      <c r="E13" s="5" t="s">
        <v>63</v>
      </c>
      <c r="F13" s="6"/>
      <c r="G13" s="9">
        <v>7</v>
      </c>
      <c r="H13" s="9">
        <v>8</v>
      </c>
      <c r="I13" s="9">
        <f t="shared" si="0"/>
        <v>15</v>
      </c>
      <c r="J13" s="45"/>
      <c r="K13" s="19">
        <v>46261</v>
      </c>
      <c r="L13" s="7">
        <v>25</v>
      </c>
      <c r="M13" s="17" t="s">
        <v>20</v>
      </c>
    </row>
    <row r="14" spans="1:13" ht="27.75" customHeight="1" x14ac:dyDescent="0.35">
      <c r="A14" s="4" t="s">
        <v>44</v>
      </c>
      <c r="B14" s="51" t="s">
        <v>17</v>
      </c>
      <c r="C14" s="8" t="s">
        <v>31</v>
      </c>
      <c r="D14" s="8" t="s">
        <v>91</v>
      </c>
      <c r="E14" s="5" t="s">
        <v>59</v>
      </c>
      <c r="F14" s="6"/>
      <c r="G14" s="9">
        <v>3</v>
      </c>
      <c r="H14" s="9">
        <v>10</v>
      </c>
      <c r="I14" s="9">
        <f t="shared" si="0"/>
        <v>13</v>
      </c>
      <c r="J14" s="46">
        <f>SUM(I14:I16)</f>
        <v>44</v>
      </c>
      <c r="K14" s="19">
        <v>46238</v>
      </c>
      <c r="L14" s="7">
        <v>20</v>
      </c>
      <c r="M14" s="17" t="s">
        <v>16</v>
      </c>
    </row>
    <row r="15" spans="1:13" ht="24" customHeight="1" x14ac:dyDescent="0.35">
      <c r="A15" s="4" t="s">
        <v>81</v>
      </c>
      <c r="B15" s="52"/>
      <c r="C15" s="8" t="s">
        <v>37</v>
      </c>
      <c r="D15" s="8" t="s">
        <v>67</v>
      </c>
      <c r="E15" s="5" t="s">
        <v>59</v>
      </c>
      <c r="F15" s="6"/>
      <c r="G15" s="9">
        <v>2</v>
      </c>
      <c r="H15" s="9">
        <v>14</v>
      </c>
      <c r="I15" s="9">
        <f t="shared" si="0"/>
        <v>16</v>
      </c>
      <c r="J15" s="47"/>
      <c r="K15" s="19">
        <v>46251</v>
      </c>
      <c r="L15" s="7">
        <v>25</v>
      </c>
      <c r="M15" s="17" t="s">
        <v>20</v>
      </c>
    </row>
    <row r="16" spans="1:13" ht="30" customHeight="1" x14ac:dyDescent="0.35">
      <c r="A16" s="4" t="s">
        <v>202</v>
      </c>
      <c r="B16" s="52"/>
      <c r="C16" s="8" t="s">
        <v>37</v>
      </c>
      <c r="D16" s="8" t="s">
        <v>182</v>
      </c>
      <c r="E16" s="5" t="s">
        <v>72</v>
      </c>
      <c r="F16" s="6"/>
      <c r="G16" s="9">
        <v>4</v>
      </c>
      <c r="H16" s="9">
        <v>11</v>
      </c>
      <c r="I16" s="9">
        <f t="shared" si="0"/>
        <v>15</v>
      </c>
      <c r="J16" s="47"/>
      <c r="K16" s="19">
        <v>46262</v>
      </c>
      <c r="L16" s="7">
        <v>25</v>
      </c>
      <c r="M16" s="16" t="s">
        <v>20</v>
      </c>
    </row>
    <row r="17" spans="1:13" ht="30" customHeight="1" x14ac:dyDescent="0.35">
      <c r="A17" s="4" t="s">
        <v>191</v>
      </c>
      <c r="B17" s="51" t="s">
        <v>25</v>
      </c>
      <c r="C17" s="8" t="s">
        <v>18</v>
      </c>
      <c r="D17" s="8" t="s">
        <v>104</v>
      </c>
      <c r="E17" s="5" t="s">
        <v>62</v>
      </c>
      <c r="F17" s="6"/>
      <c r="G17" s="9">
        <v>31</v>
      </c>
      <c r="H17" s="9">
        <v>33</v>
      </c>
      <c r="I17" s="9">
        <f t="shared" si="0"/>
        <v>64</v>
      </c>
      <c r="J17" s="43">
        <f>SUM(I17:I20)</f>
        <v>127</v>
      </c>
      <c r="K17" s="19">
        <v>46239</v>
      </c>
      <c r="L17" s="8">
        <v>25</v>
      </c>
      <c r="M17" s="16" t="s">
        <v>133</v>
      </c>
    </row>
    <row r="18" spans="1:13" ht="30" customHeight="1" x14ac:dyDescent="0.35">
      <c r="A18" s="4" t="s">
        <v>76</v>
      </c>
      <c r="B18" s="52"/>
      <c r="C18" s="8" t="s">
        <v>18</v>
      </c>
      <c r="D18" s="8" t="s">
        <v>113</v>
      </c>
      <c r="E18" s="5" t="s">
        <v>72</v>
      </c>
      <c r="F18" s="6"/>
      <c r="G18" s="9">
        <v>9</v>
      </c>
      <c r="H18" s="9">
        <v>26</v>
      </c>
      <c r="I18" s="9">
        <f t="shared" si="0"/>
        <v>35</v>
      </c>
      <c r="J18" s="44"/>
      <c r="K18" s="19">
        <v>46245</v>
      </c>
      <c r="L18" s="10">
        <v>25</v>
      </c>
      <c r="M18" s="16" t="s">
        <v>16</v>
      </c>
    </row>
    <row r="19" spans="1:13" ht="30" customHeight="1" x14ac:dyDescent="0.35">
      <c r="A19" s="4" t="s">
        <v>196</v>
      </c>
      <c r="B19" s="52"/>
      <c r="C19" s="8" t="s">
        <v>18</v>
      </c>
      <c r="D19" s="8" t="s">
        <v>148</v>
      </c>
      <c r="E19" s="5" t="s">
        <v>62</v>
      </c>
      <c r="F19" s="6"/>
      <c r="G19" s="9">
        <v>8</v>
      </c>
      <c r="H19" s="9">
        <v>10</v>
      </c>
      <c r="I19" s="9">
        <f t="shared" si="0"/>
        <v>18</v>
      </c>
      <c r="J19" s="44"/>
      <c r="K19" s="19">
        <v>46253</v>
      </c>
      <c r="L19" s="7">
        <v>20</v>
      </c>
      <c r="M19" s="16" t="s">
        <v>20</v>
      </c>
    </row>
    <row r="20" spans="1:13" ht="30" customHeight="1" x14ac:dyDescent="0.35">
      <c r="A20" s="4" t="s">
        <v>198</v>
      </c>
      <c r="B20" s="64"/>
      <c r="C20" s="8" t="s">
        <v>18</v>
      </c>
      <c r="D20" s="8" t="s">
        <v>156</v>
      </c>
      <c r="E20" s="5" t="s">
        <v>62</v>
      </c>
      <c r="F20" s="6"/>
      <c r="G20" s="9">
        <v>6</v>
      </c>
      <c r="H20" s="9">
        <v>4</v>
      </c>
      <c r="I20" s="9">
        <f t="shared" si="0"/>
        <v>10</v>
      </c>
      <c r="J20" s="45"/>
      <c r="K20" s="19">
        <v>46259</v>
      </c>
      <c r="L20" s="7">
        <v>25</v>
      </c>
      <c r="M20" s="16" t="s">
        <v>20</v>
      </c>
    </row>
    <row r="21" spans="1:13" ht="30" customHeight="1" x14ac:dyDescent="0.35">
      <c r="A21" s="4"/>
      <c r="B21" s="34" t="s">
        <v>23</v>
      </c>
      <c r="C21" s="8" t="s">
        <v>175</v>
      </c>
      <c r="D21" s="8" t="s">
        <v>57</v>
      </c>
      <c r="E21" s="5" t="s">
        <v>65</v>
      </c>
      <c r="F21" s="6"/>
      <c r="G21" s="9">
        <v>5</v>
      </c>
      <c r="H21" s="9">
        <v>10</v>
      </c>
      <c r="I21" s="9">
        <f t="shared" si="0"/>
        <v>15</v>
      </c>
      <c r="J21" s="32">
        <f>SUM(I21:I21)</f>
        <v>15</v>
      </c>
      <c r="K21" s="19">
        <v>46261</v>
      </c>
      <c r="L21" s="7">
        <v>25</v>
      </c>
      <c r="M21" s="16" t="s">
        <v>66</v>
      </c>
    </row>
    <row r="22" spans="1:13" ht="30" customHeight="1" x14ac:dyDescent="0.35">
      <c r="A22" s="4" t="s">
        <v>195</v>
      </c>
      <c r="B22" s="68" t="s">
        <v>24</v>
      </c>
      <c r="C22" s="8" t="s">
        <v>32</v>
      </c>
      <c r="D22" s="8" t="s">
        <v>118</v>
      </c>
      <c r="E22" s="5" t="s">
        <v>63</v>
      </c>
      <c r="F22" s="6"/>
      <c r="G22" s="9">
        <v>10</v>
      </c>
      <c r="H22" s="9">
        <v>11</v>
      </c>
      <c r="I22" s="9">
        <f>SUM(G22:H22)</f>
        <v>21</v>
      </c>
      <c r="J22" s="46">
        <f>SUM(I22:I26)</f>
        <v>109</v>
      </c>
      <c r="K22" s="19">
        <v>46246</v>
      </c>
      <c r="L22" s="7">
        <v>25</v>
      </c>
      <c r="M22" s="16" t="s">
        <v>132</v>
      </c>
    </row>
    <row r="23" spans="1:13" ht="30" customHeight="1" x14ac:dyDescent="0.35">
      <c r="A23" s="4" t="s">
        <v>82</v>
      </c>
      <c r="B23" s="69"/>
      <c r="C23" s="8" t="s">
        <v>32</v>
      </c>
      <c r="D23" s="10" t="s">
        <v>137</v>
      </c>
      <c r="E23" s="5" t="s">
        <v>138</v>
      </c>
      <c r="F23" s="6"/>
      <c r="G23" s="9">
        <v>3</v>
      </c>
      <c r="H23" s="9">
        <v>13</v>
      </c>
      <c r="I23" s="9">
        <f t="shared" ref="I23:I30" si="1">SUM(G23:H23)</f>
        <v>16</v>
      </c>
      <c r="J23" s="47"/>
      <c r="K23" s="19">
        <v>46251</v>
      </c>
      <c r="L23" s="7">
        <v>25</v>
      </c>
      <c r="M23" s="16" t="s">
        <v>16</v>
      </c>
    </row>
    <row r="24" spans="1:13" ht="33.75" customHeight="1" x14ac:dyDescent="0.35">
      <c r="A24" s="4" t="s">
        <v>84</v>
      </c>
      <c r="B24" s="69"/>
      <c r="C24" s="8" t="s">
        <v>185</v>
      </c>
      <c r="D24" s="10" t="s">
        <v>163</v>
      </c>
      <c r="E24" s="5" t="s">
        <v>63</v>
      </c>
      <c r="F24" s="6"/>
      <c r="G24" s="9">
        <v>2</v>
      </c>
      <c r="H24" s="9">
        <v>18</v>
      </c>
      <c r="I24" s="9">
        <f t="shared" si="1"/>
        <v>20</v>
      </c>
      <c r="J24" s="47"/>
      <c r="K24" s="19">
        <v>46260</v>
      </c>
      <c r="L24" s="7">
        <v>25</v>
      </c>
      <c r="M24" s="16" t="s">
        <v>20</v>
      </c>
    </row>
    <row r="25" spans="1:13" ht="30" customHeight="1" x14ac:dyDescent="0.35">
      <c r="A25" s="4"/>
      <c r="B25" s="69"/>
      <c r="C25" s="8" t="s">
        <v>68</v>
      </c>
      <c r="D25" s="10" t="s">
        <v>163</v>
      </c>
      <c r="E25" s="5" t="s">
        <v>145</v>
      </c>
      <c r="F25" s="6"/>
      <c r="G25" s="9">
        <v>9</v>
      </c>
      <c r="H25" s="9">
        <v>18</v>
      </c>
      <c r="I25" s="9">
        <f t="shared" si="1"/>
        <v>27</v>
      </c>
      <c r="J25" s="47"/>
      <c r="K25" s="19">
        <v>46260</v>
      </c>
      <c r="L25" s="8">
        <v>25</v>
      </c>
      <c r="M25" s="16" t="s">
        <v>20</v>
      </c>
    </row>
    <row r="26" spans="1:13" ht="30" customHeight="1" x14ac:dyDescent="0.35">
      <c r="A26" s="4" t="s">
        <v>200</v>
      </c>
      <c r="B26" s="70"/>
      <c r="C26" s="8" t="s">
        <v>32</v>
      </c>
      <c r="D26" s="10" t="s">
        <v>180</v>
      </c>
      <c r="E26" s="5" t="s">
        <v>181</v>
      </c>
      <c r="F26" s="6"/>
      <c r="G26" s="9">
        <v>21</v>
      </c>
      <c r="H26" s="9">
        <v>4</v>
      </c>
      <c r="I26" s="9">
        <f t="shared" si="1"/>
        <v>25</v>
      </c>
      <c r="J26" s="48"/>
      <c r="K26" s="19">
        <v>46262</v>
      </c>
      <c r="L26" s="10">
        <v>25</v>
      </c>
      <c r="M26" s="16" t="s">
        <v>20</v>
      </c>
    </row>
    <row r="27" spans="1:13" ht="31.5" customHeight="1" x14ac:dyDescent="0.35">
      <c r="A27" s="4" t="s">
        <v>46</v>
      </c>
      <c r="B27" s="59" t="s">
        <v>26</v>
      </c>
      <c r="C27" s="8" t="s">
        <v>49</v>
      </c>
      <c r="D27" s="8" t="s">
        <v>57</v>
      </c>
      <c r="E27" s="5" t="s">
        <v>62</v>
      </c>
      <c r="F27" s="6"/>
      <c r="G27" s="9">
        <v>28</v>
      </c>
      <c r="H27" s="9">
        <v>32</v>
      </c>
      <c r="I27" s="9">
        <f t="shared" si="1"/>
        <v>60</v>
      </c>
      <c r="J27" s="49">
        <f>SUM(I27:I30)</f>
        <v>137</v>
      </c>
      <c r="K27" s="19">
        <v>46239</v>
      </c>
      <c r="L27" s="8">
        <v>25</v>
      </c>
      <c r="M27" s="17" t="s">
        <v>20</v>
      </c>
    </row>
    <row r="28" spans="1:13" ht="31.5" customHeight="1" x14ac:dyDescent="0.35">
      <c r="A28" s="4" t="s">
        <v>75</v>
      </c>
      <c r="B28" s="59"/>
      <c r="C28" s="8" t="s">
        <v>49</v>
      </c>
      <c r="D28" s="8" t="s">
        <v>135</v>
      </c>
      <c r="E28" s="5" t="s">
        <v>65</v>
      </c>
      <c r="F28" s="6"/>
      <c r="G28" s="9">
        <v>13</v>
      </c>
      <c r="H28" s="9">
        <v>4</v>
      </c>
      <c r="I28" s="9">
        <f t="shared" si="1"/>
        <v>17</v>
      </c>
      <c r="J28" s="49"/>
      <c r="K28" s="19" t="s">
        <v>136</v>
      </c>
      <c r="L28" s="7">
        <v>25</v>
      </c>
      <c r="M28" s="17" t="s">
        <v>16</v>
      </c>
    </row>
    <row r="29" spans="1:13" ht="31.5" customHeight="1" x14ac:dyDescent="0.35">
      <c r="A29" s="4"/>
      <c r="B29" s="59"/>
      <c r="C29" s="8" t="s">
        <v>49</v>
      </c>
      <c r="D29" s="8" t="s">
        <v>161</v>
      </c>
      <c r="E29" s="5" t="s">
        <v>162</v>
      </c>
      <c r="F29" s="6"/>
      <c r="G29" s="9">
        <v>19</v>
      </c>
      <c r="H29" s="9">
        <v>16</v>
      </c>
      <c r="I29" s="9">
        <f t="shared" si="1"/>
        <v>35</v>
      </c>
      <c r="J29" s="49"/>
      <c r="K29" s="19">
        <v>46260</v>
      </c>
      <c r="L29" s="10">
        <v>25</v>
      </c>
      <c r="M29" s="17" t="s">
        <v>20</v>
      </c>
    </row>
    <row r="30" spans="1:13" ht="29.25" customHeight="1" x14ac:dyDescent="0.35">
      <c r="A30" s="4" t="s">
        <v>87</v>
      </c>
      <c r="B30" s="50"/>
      <c r="C30" s="8" t="s">
        <v>49</v>
      </c>
      <c r="D30" s="8" t="s">
        <v>167</v>
      </c>
      <c r="E30" s="5" t="s">
        <v>63</v>
      </c>
      <c r="F30" s="6"/>
      <c r="G30" s="9">
        <v>12</v>
      </c>
      <c r="H30" s="9">
        <v>13</v>
      </c>
      <c r="I30" s="9">
        <f t="shared" si="1"/>
        <v>25</v>
      </c>
      <c r="J30" s="50"/>
      <c r="K30" s="19">
        <v>46260</v>
      </c>
      <c r="L30" s="10">
        <v>25</v>
      </c>
      <c r="M30" s="16" t="s">
        <v>168</v>
      </c>
    </row>
    <row r="31" spans="1:13" ht="30" customHeight="1" x14ac:dyDescent="0.35">
      <c r="A31" s="4" t="s">
        <v>45</v>
      </c>
      <c r="B31" s="33" t="s">
        <v>19</v>
      </c>
      <c r="C31" s="8" t="s">
        <v>53</v>
      </c>
      <c r="D31" s="11" t="s">
        <v>97</v>
      </c>
      <c r="E31" s="5" t="s">
        <v>98</v>
      </c>
      <c r="F31" s="6"/>
      <c r="G31" s="9">
        <v>3</v>
      </c>
      <c r="H31" s="9">
        <v>13</v>
      </c>
      <c r="I31" s="9">
        <f t="shared" ref="I31" si="2">SUM(G31:H31)</f>
        <v>16</v>
      </c>
      <c r="J31" s="9">
        <f>SUM(I31:I31)</f>
        <v>16</v>
      </c>
      <c r="K31" s="19">
        <v>46239</v>
      </c>
      <c r="L31" s="7">
        <v>25</v>
      </c>
      <c r="M31" s="16" t="s">
        <v>16</v>
      </c>
    </row>
    <row r="32" spans="1:13" ht="30" customHeight="1" x14ac:dyDescent="0.35">
      <c r="A32" s="4"/>
      <c r="B32" s="51" t="s">
        <v>27</v>
      </c>
      <c r="C32" s="8" t="s">
        <v>99</v>
      </c>
      <c r="D32" s="8" t="s">
        <v>100</v>
      </c>
      <c r="E32" s="5" t="s">
        <v>71</v>
      </c>
      <c r="F32" s="6"/>
      <c r="G32" s="9">
        <v>5</v>
      </c>
      <c r="H32" s="9">
        <v>15</v>
      </c>
      <c r="I32" s="9">
        <f>SUM(G32:H32)</f>
        <v>20</v>
      </c>
      <c r="J32" s="46">
        <f>SUM(I32:I34)</f>
        <v>50</v>
      </c>
      <c r="K32" s="19">
        <v>46239</v>
      </c>
      <c r="L32" s="7">
        <v>25</v>
      </c>
      <c r="M32" s="16" t="s">
        <v>16</v>
      </c>
    </row>
    <row r="33" spans="1:163" ht="30" customHeight="1" x14ac:dyDescent="0.35">
      <c r="A33" s="4"/>
      <c r="B33" s="52"/>
      <c r="C33" s="8" t="s">
        <v>105</v>
      </c>
      <c r="D33" s="8" t="s">
        <v>106</v>
      </c>
      <c r="E33" s="5" t="s">
        <v>72</v>
      </c>
      <c r="F33" s="6"/>
      <c r="G33" s="9">
        <v>1</v>
      </c>
      <c r="H33" s="9">
        <v>12</v>
      </c>
      <c r="I33" s="9">
        <f t="shared" ref="I33:I34" si="3">SUM(G33:H33)</f>
        <v>13</v>
      </c>
      <c r="J33" s="47"/>
      <c r="K33" s="19">
        <v>46240</v>
      </c>
      <c r="L33" s="7">
        <v>25</v>
      </c>
      <c r="M33" s="16" t="s">
        <v>20</v>
      </c>
    </row>
    <row r="34" spans="1:163" ht="30" customHeight="1" x14ac:dyDescent="0.35">
      <c r="A34" s="4"/>
      <c r="B34" s="52"/>
      <c r="C34" s="8" t="s">
        <v>108</v>
      </c>
      <c r="D34" s="8" t="s">
        <v>109</v>
      </c>
      <c r="E34" s="5" t="s">
        <v>62</v>
      </c>
      <c r="F34" s="6"/>
      <c r="G34" s="9">
        <v>7</v>
      </c>
      <c r="H34" s="9">
        <v>10</v>
      </c>
      <c r="I34" s="9">
        <f t="shared" si="3"/>
        <v>17</v>
      </c>
      <c r="J34" s="47"/>
      <c r="K34" s="19">
        <v>46241</v>
      </c>
      <c r="L34" s="7">
        <v>25</v>
      </c>
      <c r="M34" s="16" t="s">
        <v>20</v>
      </c>
    </row>
    <row r="35" spans="1:163" ht="30" customHeight="1" x14ac:dyDescent="0.35">
      <c r="A35" s="4"/>
      <c r="B35" s="51" t="s">
        <v>28</v>
      </c>
      <c r="C35" s="8" t="s">
        <v>50</v>
      </c>
      <c r="D35" s="10" t="s">
        <v>51</v>
      </c>
      <c r="E35" s="10" t="s">
        <v>52</v>
      </c>
      <c r="F35" s="8"/>
      <c r="G35" s="9">
        <v>11</v>
      </c>
      <c r="H35" s="9">
        <v>16</v>
      </c>
      <c r="I35" s="9">
        <f t="shared" ref="I35:I40" si="4">SUM(G35:H35)</f>
        <v>27</v>
      </c>
      <c r="J35" s="46">
        <f>SUM(I35:I37)</f>
        <v>60</v>
      </c>
      <c r="K35" s="19">
        <v>46243</v>
      </c>
      <c r="L35" s="8">
        <v>25</v>
      </c>
      <c r="M35" s="16" t="s">
        <v>21</v>
      </c>
    </row>
    <row r="36" spans="1:163" ht="30" customHeight="1" x14ac:dyDescent="0.35">
      <c r="A36" s="4" t="s">
        <v>47</v>
      </c>
      <c r="B36" s="52"/>
      <c r="C36" s="8" t="s">
        <v>50</v>
      </c>
      <c r="D36" s="10" t="s">
        <v>110</v>
      </c>
      <c r="E36" s="10" t="s">
        <v>111</v>
      </c>
      <c r="F36" s="8"/>
      <c r="G36" s="9">
        <v>14</v>
      </c>
      <c r="H36" s="9">
        <v>7</v>
      </c>
      <c r="I36" s="9">
        <f t="shared" si="4"/>
        <v>21</v>
      </c>
      <c r="J36" s="47"/>
      <c r="K36" s="19" t="s">
        <v>153</v>
      </c>
      <c r="L36" s="7">
        <v>25</v>
      </c>
      <c r="M36" s="16" t="s">
        <v>16</v>
      </c>
    </row>
    <row r="37" spans="1:163" ht="30" customHeight="1" x14ac:dyDescent="0.35">
      <c r="A37" s="4" t="s">
        <v>79</v>
      </c>
      <c r="B37" s="64"/>
      <c r="C37" s="8" t="s">
        <v>121</v>
      </c>
      <c r="D37" s="10" t="s">
        <v>57</v>
      </c>
      <c r="E37" s="10" t="s">
        <v>122</v>
      </c>
      <c r="F37" s="8"/>
      <c r="G37" s="9">
        <v>4</v>
      </c>
      <c r="H37" s="9">
        <v>8</v>
      </c>
      <c r="I37" s="9">
        <f t="shared" si="4"/>
        <v>12</v>
      </c>
      <c r="J37" s="48"/>
      <c r="K37" s="19">
        <v>46247</v>
      </c>
      <c r="L37" s="7">
        <v>25</v>
      </c>
      <c r="M37" s="16" t="s">
        <v>131</v>
      </c>
    </row>
    <row r="38" spans="1:163" ht="30" customHeight="1" x14ac:dyDescent="0.35">
      <c r="A38" s="4" t="s">
        <v>77</v>
      </c>
      <c r="B38" s="40" t="s">
        <v>29</v>
      </c>
      <c r="C38" s="12" t="s">
        <v>114</v>
      </c>
      <c r="D38" s="8" t="s">
        <v>115</v>
      </c>
      <c r="E38" s="5" t="s">
        <v>59</v>
      </c>
      <c r="F38" s="6"/>
      <c r="G38" s="9">
        <v>0</v>
      </c>
      <c r="H38" s="9">
        <v>6</v>
      </c>
      <c r="I38" s="9">
        <f t="shared" si="4"/>
        <v>6</v>
      </c>
      <c r="J38" s="43">
        <f>SUM(I38:I40)</f>
        <v>36</v>
      </c>
      <c r="K38" s="19">
        <v>46245</v>
      </c>
      <c r="L38" s="7">
        <v>25</v>
      </c>
      <c r="M38" s="17" t="s">
        <v>16</v>
      </c>
    </row>
    <row r="39" spans="1:163" ht="30" customHeight="1" x14ac:dyDescent="0.35">
      <c r="A39" s="4" t="s">
        <v>80</v>
      </c>
      <c r="B39" s="41"/>
      <c r="C39" s="12" t="s">
        <v>124</v>
      </c>
      <c r="D39" s="8" t="s">
        <v>97</v>
      </c>
      <c r="E39" s="5" t="s">
        <v>71</v>
      </c>
      <c r="F39" s="6"/>
      <c r="G39" s="9">
        <v>1</v>
      </c>
      <c r="H39" s="9">
        <v>14</v>
      </c>
      <c r="I39" s="9">
        <v>16</v>
      </c>
      <c r="J39" s="44"/>
      <c r="K39" s="19" t="s">
        <v>173</v>
      </c>
      <c r="L39" s="7">
        <v>25</v>
      </c>
      <c r="M39" s="17" t="s">
        <v>16</v>
      </c>
    </row>
    <row r="40" spans="1:163" ht="30" customHeight="1" x14ac:dyDescent="0.35">
      <c r="A40" s="4"/>
      <c r="B40" s="42"/>
      <c r="C40" s="12" t="s">
        <v>124</v>
      </c>
      <c r="D40" s="8" t="s">
        <v>154</v>
      </c>
      <c r="E40" s="5" t="s">
        <v>155</v>
      </c>
      <c r="F40" s="6"/>
      <c r="G40" s="9">
        <v>10</v>
      </c>
      <c r="H40" s="9">
        <v>4</v>
      </c>
      <c r="I40" s="9">
        <f t="shared" si="4"/>
        <v>14</v>
      </c>
      <c r="J40" s="45"/>
      <c r="K40" s="19">
        <v>46259</v>
      </c>
      <c r="L40" s="7">
        <v>25</v>
      </c>
      <c r="M40" s="17" t="s">
        <v>16</v>
      </c>
    </row>
    <row r="41" spans="1:163" ht="30" customHeight="1" x14ac:dyDescent="0.35">
      <c r="A41" s="4" t="s">
        <v>194</v>
      </c>
      <c r="B41" s="51" t="s">
        <v>34</v>
      </c>
      <c r="C41" s="12" t="s">
        <v>35</v>
      </c>
      <c r="D41" s="8" t="s">
        <v>119</v>
      </c>
      <c r="E41" s="5" t="s">
        <v>120</v>
      </c>
      <c r="F41" s="6"/>
      <c r="G41" s="9">
        <v>7</v>
      </c>
      <c r="H41" s="9">
        <v>17</v>
      </c>
      <c r="I41" s="9">
        <f t="shared" ref="I41:I45" si="5">SUM(G41:H41)</f>
        <v>24</v>
      </c>
      <c r="J41" s="62">
        <f>SUM(I41:I43)</f>
        <v>73</v>
      </c>
      <c r="K41" s="19">
        <v>46244</v>
      </c>
      <c r="L41" s="7">
        <v>25</v>
      </c>
      <c r="M41" s="16" t="s">
        <v>184</v>
      </c>
    </row>
    <row r="42" spans="1:163" ht="30" customHeight="1" x14ac:dyDescent="0.35">
      <c r="A42" s="4" t="s">
        <v>89</v>
      </c>
      <c r="B42" s="52"/>
      <c r="C42" s="12" t="s">
        <v>54</v>
      </c>
      <c r="D42" s="8" t="s">
        <v>186</v>
      </c>
      <c r="E42" s="5" t="s">
        <v>187</v>
      </c>
      <c r="F42" s="6"/>
      <c r="G42" s="9">
        <v>0</v>
      </c>
      <c r="H42" s="9">
        <v>25</v>
      </c>
      <c r="I42" s="9">
        <f t="shared" si="5"/>
        <v>25</v>
      </c>
      <c r="J42" s="63"/>
      <c r="K42" s="19" t="s">
        <v>188</v>
      </c>
      <c r="L42" s="10">
        <v>25</v>
      </c>
      <c r="M42" s="16" t="s">
        <v>16</v>
      </c>
    </row>
    <row r="43" spans="1:163" ht="30" customHeight="1" x14ac:dyDescent="0.35">
      <c r="A43" s="4" t="s">
        <v>85</v>
      </c>
      <c r="B43" s="52"/>
      <c r="C43" s="12" t="s">
        <v>35</v>
      </c>
      <c r="D43" s="8" t="s">
        <v>177</v>
      </c>
      <c r="E43" s="5" t="s">
        <v>178</v>
      </c>
      <c r="F43" s="6"/>
      <c r="G43" s="9">
        <v>9</v>
      </c>
      <c r="H43" s="9">
        <v>15</v>
      </c>
      <c r="I43" s="9">
        <f t="shared" si="5"/>
        <v>24</v>
      </c>
      <c r="J43" s="63"/>
      <c r="K43" s="19">
        <v>46260</v>
      </c>
      <c r="L43" s="7">
        <v>25</v>
      </c>
      <c r="M43" s="16" t="s">
        <v>179</v>
      </c>
    </row>
    <row r="44" spans="1:163" ht="30" customHeight="1" x14ac:dyDescent="0.35">
      <c r="A44" s="14">
        <v>55</v>
      </c>
      <c r="B44" s="60" t="s">
        <v>36</v>
      </c>
      <c r="C44" s="14" t="s">
        <v>164</v>
      </c>
      <c r="D44" s="8" t="s">
        <v>165</v>
      </c>
      <c r="E44" s="5" t="s">
        <v>166</v>
      </c>
      <c r="F44" s="6"/>
      <c r="G44" s="9">
        <v>5</v>
      </c>
      <c r="H44" s="9">
        <v>18</v>
      </c>
      <c r="I44" s="9">
        <f t="shared" si="5"/>
        <v>23</v>
      </c>
      <c r="J44" s="46">
        <f>SUM(I44:I45)</f>
        <v>41</v>
      </c>
      <c r="K44" s="19">
        <v>46260</v>
      </c>
      <c r="L44" s="7">
        <v>25</v>
      </c>
      <c r="M44" s="16" t="s">
        <v>16</v>
      </c>
    </row>
    <row r="45" spans="1:163" s="22" customFormat="1" ht="30" customHeight="1" x14ac:dyDescent="0.35">
      <c r="A45" s="14">
        <v>60</v>
      </c>
      <c r="B45" s="61"/>
      <c r="C45" s="14" t="s">
        <v>70</v>
      </c>
      <c r="D45" s="8" t="s">
        <v>176</v>
      </c>
      <c r="E45" s="5" t="s">
        <v>65</v>
      </c>
      <c r="F45" s="6"/>
      <c r="G45" s="9">
        <v>7</v>
      </c>
      <c r="H45" s="9">
        <v>11</v>
      </c>
      <c r="I45" s="9">
        <f t="shared" si="5"/>
        <v>18</v>
      </c>
      <c r="J45" s="48"/>
      <c r="K45" s="19">
        <v>46262</v>
      </c>
      <c r="L45" s="7">
        <v>25</v>
      </c>
      <c r="M45" s="16" t="s">
        <v>20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26"/>
    </row>
    <row r="46" spans="1:163" s="18" customFormat="1" ht="35.25" customHeight="1" x14ac:dyDescent="0.35">
      <c r="A46" s="21" t="s">
        <v>43</v>
      </c>
      <c r="B46" s="53" t="s">
        <v>38</v>
      </c>
      <c r="C46" s="4" t="s">
        <v>39</v>
      </c>
      <c r="D46" s="8" t="s">
        <v>90</v>
      </c>
      <c r="E46" s="4" t="s">
        <v>41</v>
      </c>
      <c r="F46" s="21"/>
      <c r="G46" s="23">
        <v>0</v>
      </c>
      <c r="H46" s="23">
        <v>8</v>
      </c>
      <c r="I46" s="9">
        <f>SUM(G46:H46)</f>
        <v>8</v>
      </c>
      <c r="J46" s="46">
        <f>SUM(I46:I53)</f>
        <v>266</v>
      </c>
      <c r="K46" s="19" t="s">
        <v>189</v>
      </c>
      <c r="L46" s="7">
        <v>25</v>
      </c>
      <c r="M46" s="4" t="s">
        <v>16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27"/>
    </row>
    <row r="47" spans="1:163" s="18" customFormat="1" ht="35.25" customHeight="1" x14ac:dyDescent="0.35">
      <c r="A47" s="21" t="s">
        <v>192</v>
      </c>
      <c r="B47" s="54"/>
      <c r="C47" s="4" t="s">
        <v>39</v>
      </c>
      <c r="D47" s="8" t="s">
        <v>92</v>
      </c>
      <c r="E47" s="28" t="s">
        <v>94</v>
      </c>
      <c r="F47" s="21"/>
      <c r="G47" s="23">
        <v>35</v>
      </c>
      <c r="H47" s="23">
        <v>132</v>
      </c>
      <c r="I47" s="9">
        <f t="shared" ref="I47:I53" si="6">SUM(G47:H47)</f>
        <v>167</v>
      </c>
      <c r="J47" s="47"/>
      <c r="K47" s="19">
        <v>46239</v>
      </c>
      <c r="L47" s="8">
        <v>25</v>
      </c>
      <c r="M47" s="4" t="s">
        <v>93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7"/>
    </row>
    <row r="48" spans="1:163" s="18" customFormat="1" ht="35.25" customHeight="1" x14ac:dyDescent="0.35">
      <c r="A48" s="21" t="s">
        <v>74</v>
      </c>
      <c r="B48" s="54"/>
      <c r="C48" s="4" t="s">
        <v>39</v>
      </c>
      <c r="D48" s="8" t="s">
        <v>96</v>
      </c>
      <c r="E48" s="4" t="s">
        <v>95</v>
      </c>
      <c r="F48" s="21"/>
      <c r="G48" s="23">
        <v>4</v>
      </c>
      <c r="H48" s="9">
        <v>12</v>
      </c>
      <c r="I48" s="9">
        <f t="shared" si="6"/>
        <v>16</v>
      </c>
      <c r="J48" s="47"/>
      <c r="K48" s="19">
        <v>46239</v>
      </c>
      <c r="L48" s="7">
        <v>25</v>
      </c>
      <c r="M48" s="10" t="s">
        <v>20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27"/>
    </row>
    <row r="49" spans="1:163" s="18" customFormat="1" ht="35.25" customHeight="1" x14ac:dyDescent="0.35">
      <c r="A49" s="10">
        <v>16</v>
      </c>
      <c r="B49" s="54"/>
      <c r="C49" s="4" t="s">
        <v>39</v>
      </c>
      <c r="D49" s="8" t="s">
        <v>112</v>
      </c>
      <c r="E49" s="10" t="s">
        <v>111</v>
      </c>
      <c r="F49" s="24"/>
      <c r="G49" s="9">
        <v>3</v>
      </c>
      <c r="H49" s="9">
        <v>20</v>
      </c>
      <c r="I49" s="9">
        <f t="shared" si="6"/>
        <v>23</v>
      </c>
      <c r="J49" s="47"/>
      <c r="K49" s="19">
        <v>46245</v>
      </c>
      <c r="L49" s="7">
        <v>25</v>
      </c>
      <c r="M49" s="10" t="s">
        <v>20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27"/>
    </row>
    <row r="50" spans="1:163" s="18" customFormat="1" ht="35.25" customHeight="1" x14ac:dyDescent="0.35">
      <c r="A50" s="10">
        <v>25</v>
      </c>
      <c r="B50" s="54"/>
      <c r="C50" s="4" t="s">
        <v>39</v>
      </c>
      <c r="D50" s="8" t="s">
        <v>123</v>
      </c>
      <c r="E50" s="10" t="s">
        <v>64</v>
      </c>
      <c r="F50" s="24"/>
      <c r="G50" s="9">
        <v>3</v>
      </c>
      <c r="H50" s="9">
        <v>6</v>
      </c>
      <c r="I50" s="9">
        <f t="shared" si="6"/>
        <v>9</v>
      </c>
      <c r="J50" s="47"/>
      <c r="K50" s="19" t="s">
        <v>141</v>
      </c>
      <c r="L50" s="7">
        <v>25</v>
      </c>
      <c r="M50" s="10" t="s">
        <v>16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27"/>
    </row>
    <row r="51" spans="1:163" s="22" customFormat="1" ht="35.25" customHeight="1" x14ac:dyDescent="0.35">
      <c r="A51" s="10">
        <v>33</v>
      </c>
      <c r="B51" s="54"/>
      <c r="C51" s="4" t="s">
        <v>142</v>
      </c>
      <c r="D51" s="8" t="s">
        <v>143</v>
      </c>
      <c r="E51" s="31" t="s">
        <v>144</v>
      </c>
      <c r="F51" s="24"/>
      <c r="G51" s="9">
        <v>0</v>
      </c>
      <c r="H51" s="9">
        <v>16</v>
      </c>
      <c r="I51" s="9">
        <f t="shared" si="6"/>
        <v>16</v>
      </c>
      <c r="J51" s="47"/>
      <c r="K51" s="19">
        <v>46252</v>
      </c>
      <c r="L51" s="7">
        <v>25</v>
      </c>
      <c r="M51" s="10" t="s">
        <v>20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26"/>
    </row>
    <row r="52" spans="1:163" s="22" customFormat="1" ht="35.25" customHeight="1" x14ac:dyDescent="0.35">
      <c r="A52" s="10"/>
      <c r="B52" s="54"/>
      <c r="C52" s="4" t="s">
        <v>39</v>
      </c>
      <c r="D52" s="8" t="s">
        <v>112</v>
      </c>
      <c r="E52" s="31" t="s">
        <v>64</v>
      </c>
      <c r="F52" s="24"/>
      <c r="G52" s="9">
        <v>10</v>
      </c>
      <c r="H52" s="9">
        <v>7</v>
      </c>
      <c r="I52" s="9">
        <f t="shared" si="6"/>
        <v>17</v>
      </c>
      <c r="J52" s="47"/>
      <c r="K52" s="19">
        <v>46259</v>
      </c>
      <c r="L52" s="7">
        <v>25</v>
      </c>
      <c r="M52" s="10" t="s">
        <v>16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26"/>
    </row>
    <row r="53" spans="1:163" s="22" customFormat="1" ht="35.25" customHeight="1" x14ac:dyDescent="0.35">
      <c r="A53" s="10"/>
      <c r="B53" s="55"/>
      <c r="C53" s="4" t="s">
        <v>39</v>
      </c>
      <c r="D53" s="8" t="s">
        <v>169</v>
      </c>
      <c r="E53" s="31" t="s">
        <v>162</v>
      </c>
      <c r="F53" s="24"/>
      <c r="G53" s="9">
        <v>6</v>
      </c>
      <c r="H53" s="9">
        <v>4</v>
      </c>
      <c r="I53" s="9">
        <f t="shared" si="6"/>
        <v>10</v>
      </c>
      <c r="J53" s="48"/>
      <c r="K53" s="19">
        <v>46260</v>
      </c>
      <c r="L53" s="7">
        <v>25</v>
      </c>
      <c r="M53" s="10" t="s">
        <v>20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26"/>
    </row>
    <row r="54" spans="1:163" s="22" customFormat="1" ht="35.25" customHeight="1" x14ac:dyDescent="0.35">
      <c r="A54" s="10">
        <v>28</v>
      </c>
      <c r="B54" s="56" t="s">
        <v>42</v>
      </c>
      <c r="C54" s="10" t="s">
        <v>125</v>
      </c>
      <c r="D54" s="10" t="s">
        <v>126</v>
      </c>
      <c r="E54" s="10" t="s">
        <v>72</v>
      </c>
      <c r="F54" s="10"/>
      <c r="G54" s="25">
        <v>6</v>
      </c>
      <c r="H54" s="25">
        <v>14</v>
      </c>
      <c r="I54" s="25">
        <f>SUM(G54:H54)</f>
        <v>20</v>
      </c>
      <c r="J54" s="46">
        <f>SUM(I54:I57)</f>
        <v>77</v>
      </c>
      <c r="K54" s="19">
        <v>46247</v>
      </c>
      <c r="L54" s="7">
        <v>25</v>
      </c>
      <c r="M54" s="10" t="s">
        <v>130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6"/>
    </row>
    <row r="55" spans="1:163" ht="35.25" customHeight="1" x14ac:dyDescent="0.35">
      <c r="A55" s="10"/>
      <c r="B55" s="57"/>
      <c r="C55" s="10" t="s">
        <v>125</v>
      </c>
      <c r="D55" s="10" t="s">
        <v>127</v>
      </c>
      <c r="E55" s="10" t="s">
        <v>72</v>
      </c>
      <c r="F55" s="10"/>
      <c r="G55" s="25">
        <v>0</v>
      </c>
      <c r="H55" s="25">
        <v>10</v>
      </c>
      <c r="I55" s="25">
        <f>SUM(G55:H55)</f>
        <v>10</v>
      </c>
      <c r="J55" s="47"/>
      <c r="K55" s="19">
        <v>46247</v>
      </c>
      <c r="L55" s="7">
        <v>25</v>
      </c>
      <c r="M55" s="10" t="s">
        <v>16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</row>
    <row r="56" spans="1:163" ht="35.25" customHeight="1" x14ac:dyDescent="0.35">
      <c r="A56" s="10">
        <v>36</v>
      </c>
      <c r="B56" s="57"/>
      <c r="C56" s="10" t="s">
        <v>147</v>
      </c>
      <c r="D56" s="10" t="s">
        <v>146</v>
      </c>
      <c r="E56" s="10" t="s">
        <v>145</v>
      </c>
      <c r="F56" s="10"/>
      <c r="G56" s="25">
        <v>5</v>
      </c>
      <c r="H56" s="25">
        <v>16</v>
      </c>
      <c r="I56" s="25">
        <f>SUM(G56:H56)</f>
        <v>21</v>
      </c>
      <c r="J56" s="47"/>
      <c r="K56" s="19">
        <v>46252</v>
      </c>
      <c r="L56" s="7">
        <v>25</v>
      </c>
      <c r="M56" s="10" t="s">
        <v>130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</row>
    <row r="57" spans="1:163" ht="35.25" customHeight="1" x14ac:dyDescent="0.35">
      <c r="A57" s="10">
        <v>41</v>
      </c>
      <c r="B57" s="58"/>
      <c r="C57" s="10" t="s">
        <v>125</v>
      </c>
      <c r="D57" s="10" t="s">
        <v>152</v>
      </c>
      <c r="E57" s="10" t="s">
        <v>120</v>
      </c>
      <c r="F57" s="10"/>
      <c r="G57" s="25">
        <v>13</v>
      </c>
      <c r="H57" s="25">
        <v>13</v>
      </c>
      <c r="I57" s="25">
        <f>SUM(G57:H57)</f>
        <v>26</v>
      </c>
      <c r="J57" s="48"/>
      <c r="K57" s="19">
        <v>46253</v>
      </c>
      <c r="L57" s="10">
        <v>25</v>
      </c>
      <c r="M57" s="10" t="s">
        <v>130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</row>
    <row r="58" spans="1:163" ht="33" customHeight="1" x14ac:dyDescent="0.35">
      <c r="A58" s="10">
        <v>26</v>
      </c>
      <c r="B58" s="56" t="s">
        <v>55</v>
      </c>
      <c r="C58" s="10" t="s">
        <v>128</v>
      </c>
      <c r="D58" s="10" t="s">
        <v>126</v>
      </c>
      <c r="E58" s="10" t="s">
        <v>64</v>
      </c>
      <c r="F58" s="10"/>
      <c r="G58" s="25">
        <v>7</v>
      </c>
      <c r="H58" s="25">
        <v>15</v>
      </c>
      <c r="I58" s="25">
        <f t="shared" ref="I58:I63" si="7">SUM(G58:H58)</f>
        <v>22</v>
      </c>
      <c r="J58" s="46">
        <f>SUM(I58:I60)</f>
        <v>118</v>
      </c>
      <c r="K58" s="19">
        <v>46247</v>
      </c>
      <c r="L58" s="7">
        <v>25</v>
      </c>
      <c r="M58" s="10" t="s">
        <v>129</v>
      </c>
    </row>
    <row r="59" spans="1:163" ht="33" customHeight="1" x14ac:dyDescent="0.35">
      <c r="A59" s="10">
        <v>49</v>
      </c>
      <c r="B59" s="57"/>
      <c r="C59" s="10" t="s">
        <v>157</v>
      </c>
      <c r="D59" s="10" t="s">
        <v>158</v>
      </c>
      <c r="E59" s="10" t="s">
        <v>62</v>
      </c>
      <c r="F59" s="10"/>
      <c r="G59" s="25">
        <v>10</v>
      </c>
      <c r="H59" s="25">
        <v>16</v>
      </c>
      <c r="I59" s="25">
        <f t="shared" si="7"/>
        <v>26</v>
      </c>
      <c r="J59" s="47"/>
      <c r="K59" s="19">
        <v>46260</v>
      </c>
      <c r="L59" s="10">
        <v>25</v>
      </c>
      <c r="M59" s="10" t="s">
        <v>159</v>
      </c>
    </row>
    <row r="60" spans="1:163" ht="41.25" customHeight="1" x14ac:dyDescent="0.35">
      <c r="A60" s="39">
        <v>51</v>
      </c>
      <c r="B60" s="58"/>
      <c r="C60" s="10" t="s">
        <v>170</v>
      </c>
      <c r="D60" s="10" t="s">
        <v>171</v>
      </c>
      <c r="E60" s="10" t="s">
        <v>172</v>
      </c>
      <c r="F60" s="10"/>
      <c r="G60" s="25">
        <v>15</v>
      </c>
      <c r="H60" s="25">
        <v>55</v>
      </c>
      <c r="I60" s="25">
        <f t="shared" si="7"/>
        <v>70</v>
      </c>
      <c r="J60" s="48"/>
      <c r="K60" s="19">
        <v>46261</v>
      </c>
      <c r="L60" s="10">
        <v>25</v>
      </c>
      <c r="M60" s="10" t="s">
        <v>159</v>
      </c>
    </row>
    <row r="61" spans="1:163" ht="33" customHeight="1" x14ac:dyDescent="0.35">
      <c r="A61" s="39">
        <v>20</v>
      </c>
      <c r="B61" s="65" t="s">
        <v>56</v>
      </c>
      <c r="C61" s="10" t="s">
        <v>61</v>
      </c>
      <c r="D61" s="10" t="s">
        <v>117</v>
      </c>
      <c r="E61" s="10" t="s">
        <v>71</v>
      </c>
      <c r="F61" s="10"/>
      <c r="G61" s="25">
        <v>13</v>
      </c>
      <c r="H61" s="25">
        <v>15</v>
      </c>
      <c r="I61" s="25">
        <f t="shared" si="7"/>
        <v>28</v>
      </c>
      <c r="J61" s="46">
        <f>SUM(I61:I63)</f>
        <v>100</v>
      </c>
      <c r="K61" s="19">
        <v>46246</v>
      </c>
      <c r="L61" s="10">
        <v>25</v>
      </c>
      <c r="M61" s="10" t="s">
        <v>16</v>
      </c>
    </row>
    <row r="62" spans="1:163" ht="33" customHeight="1" x14ac:dyDescent="0.35">
      <c r="A62" s="39">
        <v>35</v>
      </c>
      <c r="B62" s="65"/>
      <c r="C62" s="36" t="s">
        <v>61</v>
      </c>
      <c r="D62" s="36" t="s">
        <v>139</v>
      </c>
      <c r="E62" s="36" t="s">
        <v>62</v>
      </c>
      <c r="F62" s="36"/>
      <c r="G62" s="37">
        <v>35</v>
      </c>
      <c r="H62" s="37">
        <v>13</v>
      </c>
      <c r="I62" s="37">
        <f t="shared" si="7"/>
        <v>48</v>
      </c>
      <c r="J62" s="47"/>
      <c r="K62" s="38">
        <v>46252</v>
      </c>
      <c r="L62" s="36">
        <v>30</v>
      </c>
      <c r="M62" s="36" t="s">
        <v>140</v>
      </c>
    </row>
    <row r="63" spans="1:163" ht="33" customHeight="1" x14ac:dyDescent="0.35">
      <c r="A63" s="35">
        <v>46</v>
      </c>
      <c r="B63" s="65"/>
      <c r="C63" s="10" t="s">
        <v>61</v>
      </c>
      <c r="D63" s="10" t="s">
        <v>199</v>
      </c>
      <c r="E63" s="10" t="s">
        <v>71</v>
      </c>
      <c r="F63" s="10"/>
      <c r="G63" s="25">
        <v>8</v>
      </c>
      <c r="H63" s="25">
        <v>16</v>
      </c>
      <c r="I63" s="25">
        <f t="shared" si="7"/>
        <v>24</v>
      </c>
      <c r="J63" s="48"/>
      <c r="K63" s="19">
        <v>46260</v>
      </c>
      <c r="L63" s="7">
        <v>25</v>
      </c>
      <c r="M63" s="10" t="s">
        <v>16</v>
      </c>
    </row>
    <row r="64" spans="1:163" ht="26.25" customHeight="1" x14ac:dyDescent="0.55000000000000004">
      <c r="A64" s="71" t="s">
        <v>203</v>
      </c>
      <c r="B64" s="71"/>
      <c r="C64" s="71"/>
      <c r="D64" s="71"/>
      <c r="E64" s="71"/>
      <c r="F64" s="71"/>
      <c r="G64" s="71"/>
      <c r="H64" s="71"/>
      <c r="I64" s="71"/>
      <c r="J64" s="72">
        <f>+J61+J58+J54+J46+J44+J41+J38+J35+J32+J31+J22+J21+J27+J17+J14+J10+J6+J4</f>
        <v>1461</v>
      </c>
      <c r="K64" s="29"/>
      <c r="L64" s="29"/>
      <c r="M64" s="29"/>
    </row>
    <row r="65" spans="13:13" x14ac:dyDescent="0.35">
      <c r="M65" s="15"/>
    </row>
    <row r="66" spans="13:13" x14ac:dyDescent="0.35">
      <c r="M66" s="15"/>
    </row>
  </sheetData>
  <autoFilter ref="A3:M43" xr:uid="{00000000-0009-0000-0000-000000000000}">
    <filterColumn colId="12">
      <filters>
        <filter val="INATEC"/>
        <filter val="INTUR"/>
      </filters>
    </filterColumn>
  </autoFilter>
  <mergeCells count="35">
    <mergeCell ref="A64:I64"/>
    <mergeCell ref="B61:B63"/>
    <mergeCell ref="J61:J63"/>
    <mergeCell ref="A1:M1"/>
    <mergeCell ref="A2:M2"/>
    <mergeCell ref="B4:B5"/>
    <mergeCell ref="J4:J5"/>
    <mergeCell ref="B14:B16"/>
    <mergeCell ref="J14:J16"/>
    <mergeCell ref="B10:B13"/>
    <mergeCell ref="J10:J13"/>
    <mergeCell ref="B17:B20"/>
    <mergeCell ref="J17:J20"/>
    <mergeCell ref="B6:B9"/>
    <mergeCell ref="J6:J9"/>
    <mergeCell ref="B22:B26"/>
    <mergeCell ref="J22:J26"/>
    <mergeCell ref="B58:B60"/>
    <mergeCell ref="J58:J60"/>
    <mergeCell ref="B27:B30"/>
    <mergeCell ref="B44:B45"/>
    <mergeCell ref="J44:J45"/>
    <mergeCell ref="B41:B43"/>
    <mergeCell ref="J41:J43"/>
    <mergeCell ref="B54:B57"/>
    <mergeCell ref="J54:J57"/>
    <mergeCell ref="B35:B37"/>
    <mergeCell ref="J35:J37"/>
    <mergeCell ref="B38:B40"/>
    <mergeCell ref="J38:J40"/>
    <mergeCell ref="J46:J53"/>
    <mergeCell ref="J27:J30"/>
    <mergeCell ref="B32:B34"/>
    <mergeCell ref="J32:J34"/>
    <mergeCell ref="B46:B53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JULIO 2026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silvio leonardo rodriguez tiffer</cp:lastModifiedBy>
  <cp:lastPrinted>2025-12-15T17:40:23Z</cp:lastPrinted>
  <dcterms:created xsi:type="dcterms:W3CDTF">2017-01-13T16:08:20Z</dcterms:created>
  <dcterms:modified xsi:type="dcterms:W3CDTF">2026-09-29T21:04:01Z</dcterms:modified>
</cp:coreProperties>
</file>